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thvanderbijl/Coding Projects/John Gospel Feature Scanner/"/>
    </mc:Choice>
  </mc:AlternateContent>
  <xr:revisionPtr revIDLastSave="0" documentId="13_ncr:1_{EB804E79-265F-7449-BEA1-CE760969E13B}" xr6:coauthVersionLast="45" xr6:coauthVersionMax="45" xr10:uidLastSave="{00000000-0000-0000-0000-000000000000}"/>
  <bookViews>
    <workbookView xWindow="4020" yWindow="2320" windowWidth="29300" windowHeight="18220" xr2:uid="{F8BA04ED-6AD3-A147-A0DC-BC52E1ADA97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" i="1" l="1"/>
  <c r="O4" i="1" s="1"/>
  <c r="P32" i="1" s="1"/>
  <c r="O1" i="1"/>
  <c r="BJ51" i="1" s="1"/>
  <c r="CN9" i="1" l="1"/>
  <c r="CN25" i="1"/>
  <c r="CN18" i="1"/>
  <c r="CN35" i="1"/>
  <c r="CN4" i="1"/>
  <c r="CN12" i="1"/>
  <c r="CN20" i="1"/>
  <c r="CN28" i="1"/>
  <c r="CN36" i="1"/>
  <c r="CN3" i="1"/>
  <c r="CN5" i="1"/>
  <c r="CN13" i="1"/>
  <c r="CN21" i="1"/>
  <c r="CN29" i="1"/>
  <c r="CN37" i="1"/>
  <c r="CN2" i="1"/>
  <c r="CN34" i="1"/>
  <c r="CN11" i="1"/>
  <c r="CN6" i="1"/>
  <c r="CN14" i="1"/>
  <c r="CN22" i="1"/>
  <c r="CN30" i="1"/>
  <c r="CN38" i="1"/>
  <c r="CN17" i="1"/>
  <c r="CN26" i="1"/>
  <c r="CN19" i="1"/>
  <c r="CN7" i="1"/>
  <c r="CN15" i="1"/>
  <c r="CN23" i="1"/>
  <c r="CN31" i="1"/>
  <c r="CN39" i="1"/>
  <c r="CN33" i="1"/>
  <c r="CN10" i="1"/>
  <c r="CN27" i="1"/>
  <c r="CN8" i="1"/>
  <c r="CN16" i="1"/>
  <c r="CN24" i="1"/>
  <c r="CN32" i="1"/>
  <c r="CN40" i="1"/>
  <c r="CH11" i="1"/>
  <c r="CH3" i="1"/>
  <c r="CH19" i="1"/>
  <c r="CH27" i="1"/>
  <c r="CH35" i="1"/>
  <c r="CH4" i="1"/>
  <c r="CH36" i="1"/>
  <c r="CH5" i="1"/>
  <c r="CH6" i="1"/>
  <c r="CH14" i="1"/>
  <c r="CH22" i="1"/>
  <c r="CH30" i="1"/>
  <c r="CH38" i="1"/>
  <c r="CH7" i="1"/>
  <c r="CH15" i="1"/>
  <c r="CH23" i="1"/>
  <c r="CH31" i="1"/>
  <c r="CH39" i="1"/>
  <c r="CH8" i="1"/>
  <c r="CH16" i="1"/>
  <c r="CH24" i="1"/>
  <c r="CH32" i="1"/>
  <c r="CH40" i="1"/>
  <c r="CH12" i="1"/>
  <c r="CH28" i="1"/>
  <c r="CH13" i="1"/>
  <c r="CH29" i="1"/>
  <c r="CH41" i="1"/>
  <c r="CH20" i="1"/>
  <c r="CH21" i="1"/>
  <c r="CH37" i="1"/>
  <c r="CH9" i="1"/>
  <c r="CH17" i="1"/>
  <c r="CH25" i="1"/>
  <c r="CH33" i="1"/>
  <c r="CH2" i="1"/>
  <c r="CH10" i="1"/>
  <c r="CH18" i="1"/>
  <c r="CH26" i="1"/>
  <c r="CH34" i="1"/>
  <c r="CH42" i="1"/>
  <c r="CB31" i="1"/>
  <c r="CB16" i="1"/>
  <c r="CB32" i="1"/>
  <c r="CB9" i="1"/>
  <c r="CB25" i="1"/>
  <c r="CB33" i="1"/>
  <c r="CB41" i="1"/>
  <c r="CB15" i="1"/>
  <c r="CB23" i="1"/>
  <c r="CB8" i="1"/>
  <c r="CB24" i="1"/>
  <c r="CB40" i="1"/>
  <c r="CB17" i="1"/>
  <c r="CB2" i="1"/>
  <c r="CB10" i="1"/>
  <c r="CB18" i="1"/>
  <c r="CB26" i="1"/>
  <c r="CB34" i="1"/>
  <c r="CB42" i="1"/>
  <c r="CB7" i="1"/>
  <c r="CB39" i="1"/>
  <c r="CB3" i="1"/>
  <c r="CB11" i="1"/>
  <c r="CB19" i="1"/>
  <c r="CB27" i="1"/>
  <c r="CB35" i="1"/>
  <c r="CB43" i="1"/>
  <c r="CB4" i="1"/>
  <c r="CB12" i="1"/>
  <c r="CB20" i="1"/>
  <c r="CB28" i="1"/>
  <c r="CB36" i="1"/>
  <c r="CB44" i="1"/>
  <c r="CB5" i="1"/>
  <c r="CB13" i="1"/>
  <c r="CB21" i="1"/>
  <c r="CB29" i="1"/>
  <c r="CB37" i="1"/>
  <c r="CB45" i="1"/>
  <c r="CB6" i="1"/>
  <c r="CB14" i="1"/>
  <c r="CB22" i="1"/>
  <c r="CB30" i="1"/>
  <c r="CB38" i="1"/>
  <c r="CB46" i="1"/>
  <c r="BV9" i="1"/>
  <c r="BV17" i="1"/>
  <c r="BV41" i="1"/>
  <c r="BV26" i="1"/>
  <c r="BV25" i="1"/>
  <c r="BV18" i="1"/>
  <c r="BV19" i="1"/>
  <c r="BV44" i="1"/>
  <c r="BV5" i="1"/>
  <c r="BV13" i="1"/>
  <c r="BV21" i="1"/>
  <c r="BV29" i="1"/>
  <c r="BV37" i="1"/>
  <c r="BV45" i="1"/>
  <c r="BV3" i="1"/>
  <c r="BV35" i="1"/>
  <c r="BV12" i="1"/>
  <c r="BV36" i="1"/>
  <c r="BV6" i="1"/>
  <c r="BV14" i="1"/>
  <c r="BV22" i="1"/>
  <c r="BV30" i="1"/>
  <c r="BV38" i="1"/>
  <c r="BV46" i="1"/>
  <c r="BV2" i="1"/>
  <c r="BV34" i="1"/>
  <c r="BV43" i="1"/>
  <c r="BV20" i="1"/>
  <c r="BV15" i="1"/>
  <c r="BV39" i="1"/>
  <c r="BV47" i="1"/>
  <c r="BV33" i="1"/>
  <c r="BV10" i="1"/>
  <c r="BV42" i="1"/>
  <c r="BV11" i="1"/>
  <c r="BV27" i="1"/>
  <c r="BV4" i="1"/>
  <c r="BV28" i="1"/>
  <c r="BV7" i="1"/>
  <c r="BV23" i="1"/>
  <c r="BV31" i="1"/>
  <c r="BV8" i="1"/>
  <c r="BV16" i="1"/>
  <c r="BV24" i="1"/>
  <c r="BV32" i="1"/>
  <c r="BV40" i="1"/>
  <c r="BV48" i="1"/>
  <c r="BP3" i="1"/>
  <c r="P26" i="1"/>
  <c r="M19" i="1"/>
  <c r="P19" i="1" s="1"/>
  <c r="BP19" i="1"/>
  <c r="BP35" i="1"/>
  <c r="BP11" i="1"/>
  <c r="M5" i="1"/>
  <c r="P5" i="1" s="1"/>
  <c r="BP27" i="1"/>
  <c r="M35" i="1"/>
  <c r="P37" i="1" s="1"/>
  <c r="M31" i="1"/>
  <c r="P33" i="1" s="1"/>
  <c r="BP43" i="1"/>
  <c r="M25" i="1"/>
  <c r="P25" i="1" s="1"/>
  <c r="BP4" i="1"/>
  <c r="BP36" i="1"/>
  <c r="M10" i="1"/>
  <c r="P10" i="1" s="1"/>
  <c r="M30" i="1"/>
  <c r="P31" i="1" s="1"/>
  <c r="BP13" i="1"/>
  <c r="BP21" i="1"/>
  <c r="BP37" i="1"/>
  <c r="BP45" i="1"/>
  <c r="M11" i="1"/>
  <c r="P11" i="1" s="1"/>
  <c r="BP20" i="1"/>
  <c r="BP44" i="1"/>
  <c r="M17" i="1"/>
  <c r="P17" i="1" s="1"/>
  <c r="M33" i="1"/>
  <c r="P35" i="1" s="1"/>
  <c r="M24" i="1"/>
  <c r="P24" i="1" s="1"/>
  <c r="BP5" i="1"/>
  <c r="BP29" i="1"/>
  <c r="M16" i="1"/>
  <c r="P16" i="1" s="1"/>
  <c r="M3" i="1"/>
  <c r="P3" i="1" s="1"/>
  <c r="M29" i="1"/>
  <c r="P30" i="1" s="1"/>
  <c r="M23" i="1"/>
  <c r="P23" i="1" s="1"/>
  <c r="BP6" i="1"/>
  <c r="BP14" i="1"/>
  <c r="BP22" i="1"/>
  <c r="BP30" i="1"/>
  <c r="BP38" i="1"/>
  <c r="BP46" i="1"/>
  <c r="M4" i="1"/>
  <c r="P4" i="1" s="1"/>
  <c r="BP12" i="1"/>
  <c r="M2" i="1"/>
  <c r="P2" i="1" s="1"/>
  <c r="M28" i="1"/>
  <c r="P29" i="1" s="1"/>
  <c r="BP7" i="1"/>
  <c r="BP23" i="1"/>
  <c r="BP39" i="1"/>
  <c r="BP47" i="1"/>
  <c r="M18" i="1"/>
  <c r="P18" i="1" s="1"/>
  <c r="M34" i="1"/>
  <c r="P36" i="1" s="1"/>
  <c r="BP28" i="1"/>
  <c r="M15" i="1"/>
  <c r="P15" i="1" s="1"/>
  <c r="M9" i="1"/>
  <c r="P9" i="1" s="1"/>
  <c r="M22" i="1"/>
  <c r="P22" i="1" s="1"/>
  <c r="BP15" i="1"/>
  <c r="BP31" i="1"/>
  <c r="M14" i="1"/>
  <c r="P14" i="1" s="1"/>
  <c r="M8" i="1"/>
  <c r="P8" i="1" s="1"/>
  <c r="M38" i="1"/>
  <c r="P40" i="1" s="1"/>
  <c r="M27" i="1"/>
  <c r="P28" i="1" s="1"/>
  <c r="M21" i="1"/>
  <c r="P21" i="1" s="1"/>
  <c r="BP8" i="1"/>
  <c r="BP16" i="1"/>
  <c r="BP24" i="1"/>
  <c r="BP32" i="1"/>
  <c r="BP40" i="1"/>
  <c r="BP48" i="1"/>
  <c r="M13" i="1"/>
  <c r="P13" i="1" s="1"/>
  <c r="M7" i="1"/>
  <c r="P7" i="1" s="1"/>
  <c r="M37" i="1"/>
  <c r="P39" i="1" s="1"/>
  <c r="M20" i="1"/>
  <c r="P20" i="1" s="1"/>
  <c r="BP9" i="1"/>
  <c r="BP17" i="1"/>
  <c r="BP25" i="1"/>
  <c r="BP33" i="1"/>
  <c r="BP41" i="1"/>
  <c r="BP49" i="1"/>
  <c r="M12" i="1"/>
  <c r="P12" i="1" s="1"/>
  <c r="M6" i="1"/>
  <c r="P6" i="1" s="1"/>
  <c r="M36" i="1"/>
  <c r="P38" i="1" s="1"/>
  <c r="M32" i="1"/>
  <c r="P34" i="1" s="1"/>
  <c r="M26" i="1"/>
  <c r="P27" i="1" s="1"/>
  <c r="BP2" i="1"/>
  <c r="BP10" i="1"/>
  <c r="BP18" i="1"/>
  <c r="BP26" i="1"/>
  <c r="BP34" i="1"/>
  <c r="BP42" i="1"/>
  <c r="BP50" i="1"/>
  <c r="BJ36" i="1"/>
  <c r="BJ13" i="1"/>
  <c r="BJ45" i="1"/>
  <c r="BJ6" i="1"/>
  <c r="BJ14" i="1"/>
  <c r="BJ22" i="1"/>
  <c r="BJ30" i="1"/>
  <c r="BJ38" i="1"/>
  <c r="BJ46" i="1"/>
  <c r="BJ4" i="1"/>
  <c r="BJ28" i="1"/>
  <c r="BJ5" i="1"/>
  <c r="BJ21" i="1"/>
  <c r="BJ7" i="1"/>
  <c r="BJ15" i="1"/>
  <c r="BJ23" i="1"/>
  <c r="BJ31" i="1"/>
  <c r="BJ39" i="1"/>
  <c r="BJ47" i="1"/>
  <c r="BJ8" i="1"/>
  <c r="BJ16" i="1"/>
  <c r="BJ24" i="1"/>
  <c r="BJ32" i="1"/>
  <c r="BJ40" i="1"/>
  <c r="BJ48" i="1"/>
  <c r="BJ12" i="1"/>
  <c r="BJ44" i="1"/>
  <c r="BJ29" i="1"/>
  <c r="BJ9" i="1"/>
  <c r="BJ17" i="1"/>
  <c r="BJ25" i="1"/>
  <c r="BJ33" i="1"/>
  <c r="BJ41" i="1"/>
  <c r="BJ49" i="1"/>
  <c r="BJ2" i="1"/>
  <c r="BJ10" i="1"/>
  <c r="BJ18" i="1"/>
  <c r="BJ26" i="1"/>
  <c r="BJ34" i="1"/>
  <c r="BJ42" i="1"/>
  <c r="BJ50" i="1"/>
  <c r="BJ20" i="1"/>
  <c r="BJ37" i="1"/>
  <c r="BJ3" i="1"/>
  <c r="BJ11" i="1"/>
  <c r="BJ19" i="1"/>
  <c r="BJ27" i="1"/>
  <c r="BJ35" i="1"/>
  <c r="BJ43" i="1"/>
  <c r="P54" i="1"/>
  <c r="AY48" i="1"/>
  <c r="AY25" i="1"/>
  <c r="AY2" i="1"/>
  <c r="AY34" i="1"/>
  <c r="AY42" i="1"/>
  <c r="AY50" i="1"/>
  <c r="AY16" i="1"/>
  <c r="AY41" i="1"/>
  <c r="AY10" i="1"/>
  <c r="AY3" i="1"/>
  <c r="AY11" i="1"/>
  <c r="AY19" i="1"/>
  <c r="AY27" i="1"/>
  <c r="AY35" i="1"/>
  <c r="AY43" i="1"/>
  <c r="AY51" i="1"/>
  <c r="AY24" i="1"/>
  <c r="AY9" i="1"/>
  <c r="AY49" i="1"/>
  <c r="AY18" i="1"/>
  <c r="AY4" i="1"/>
  <c r="AY12" i="1"/>
  <c r="AY20" i="1"/>
  <c r="AY28" i="1"/>
  <c r="AY36" i="1"/>
  <c r="AY44" i="1"/>
  <c r="AY52" i="1"/>
  <c r="AY32" i="1"/>
  <c r="AY17" i="1"/>
  <c r="AY33" i="1"/>
  <c r="AY26" i="1"/>
  <c r="AY5" i="1"/>
  <c r="AY13" i="1"/>
  <c r="AY21" i="1"/>
  <c r="AY29" i="1"/>
  <c r="AY37" i="1"/>
  <c r="AY45" i="1"/>
  <c r="AY53" i="1"/>
  <c r="AY8" i="1"/>
  <c r="AY40" i="1"/>
  <c r="AY6" i="1"/>
  <c r="AY14" i="1"/>
  <c r="AY22" i="1"/>
  <c r="AY30" i="1"/>
  <c r="AY38" i="1"/>
  <c r="AY46" i="1"/>
  <c r="AY54" i="1"/>
  <c r="AY7" i="1"/>
  <c r="AY15" i="1"/>
  <c r="AY23" i="1"/>
  <c r="AY31" i="1"/>
  <c r="AY39" i="1"/>
  <c r="AY47" i="1"/>
  <c r="AY55" i="1"/>
  <c r="P56" i="1"/>
  <c r="P65" i="1"/>
  <c r="AS11" i="1"/>
  <c r="AS35" i="1"/>
  <c r="AS28" i="1"/>
  <c r="AS21" i="1"/>
  <c r="AS29" i="1"/>
  <c r="AS37" i="1"/>
  <c r="AS45" i="1"/>
  <c r="AS53" i="1"/>
  <c r="AS51" i="1"/>
  <c r="AS4" i="1"/>
  <c r="AS44" i="1"/>
  <c r="AS6" i="1"/>
  <c r="AS14" i="1"/>
  <c r="AS22" i="1"/>
  <c r="AS30" i="1"/>
  <c r="AS38" i="1"/>
  <c r="AS46" i="1"/>
  <c r="AS54" i="1"/>
  <c r="AS27" i="1"/>
  <c r="AS36" i="1"/>
  <c r="AS7" i="1"/>
  <c r="AS15" i="1"/>
  <c r="AS23" i="1"/>
  <c r="AS31" i="1"/>
  <c r="AS39" i="1"/>
  <c r="AS47" i="1"/>
  <c r="AS55" i="1"/>
  <c r="AS43" i="1"/>
  <c r="AS20" i="1"/>
  <c r="AS52" i="1"/>
  <c r="AS13" i="1"/>
  <c r="AS8" i="1"/>
  <c r="AS16" i="1"/>
  <c r="AS24" i="1"/>
  <c r="AS32" i="1"/>
  <c r="AS40" i="1"/>
  <c r="AS48" i="1"/>
  <c r="AS56" i="1"/>
  <c r="AS3" i="1"/>
  <c r="AS19" i="1"/>
  <c r="AS12" i="1"/>
  <c r="AS5" i="1"/>
  <c r="AS9" i="1"/>
  <c r="AS17" i="1"/>
  <c r="AS25" i="1"/>
  <c r="AS33" i="1"/>
  <c r="AS41" i="1"/>
  <c r="AS49" i="1"/>
  <c r="AS57" i="1"/>
  <c r="AS2" i="1"/>
  <c r="AS10" i="1"/>
  <c r="AS18" i="1"/>
  <c r="AS26" i="1"/>
  <c r="AS34" i="1"/>
  <c r="AS42" i="1"/>
  <c r="AS50" i="1"/>
  <c r="AS58" i="1"/>
  <c r="AA65" i="1"/>
  <c r="AA55" i="1"/>
  <c r="AM16" i="1"/>
  <c r="AM56" i="1"/>
  <c r="AM17" i="1"/>
  <c r="AM57" i="1"/>
  <c r="AM2" i="1"/>
  <c r="AM10" i="1"/>
  <c r="AM18" i="1"/>
  <c r="AM26" i="1"/>
  <c r="AM34" i="1"/>
  <c r="AM42" i="1"/>
  <c r="AM50" i="1"/>
  <c r="AM58" i="1"/>
  <c r="AM8" i="1"/>
  <c r="AM32" i="1"/>
  <c r="AM25" i="1"/>
  <c r="AM49" i="1"/>
  <c r="AM3" i="1"/>
  <c r="AM11" i="1"/>
  <c r="AM19" i="1"/>
  <c r="AM27" i="1"/>
  <c r="AM35" i="1"/>
  <c r="AM43" i="1"/>
  <c r="AM51" i="1"/>
  <c r="AM59" i="1"/>
  <c r="AM48" i="1"/>
  <c r="AM33" i="1"/>
  <c r="AM41" i="1"/>
  <c r="AM4" i="1"/>
  <c r="AM12" i="1"/>
  <c r="AM20" i="1"/>
  <c r="AM28" i="1"/>
  <c r="AM36" i="1"/>
  <c r="AM44" i="1"/>
  <c r="AM52" i="1"/>
  <c r="AM60" i="1"/>
  <c r="AM24" i="1"/>
  <c r="AM9" i="1"/>
  <c r="AM21" i="1"/>
  <c r="AM45" i="1"/>
  <c r="AM53" i="1"/>
  <c r="AM61" i="1"/>
  <c r="AM40" i="1"/>
  <c r="AM5" i="1"/>
  <c r="AM29" i="1"/>
  <c r="AM6" i="1"/>
  <c r="AM14" i="1"/>
  <c r="AM22" i="1"/>
  <c r="AM30" i="1"/>
  <c r="AM38" i="1"/>
  <c r="AM46" i="1"/>
  <c r="AM54" i="1"/>
  <c r="AM62" i="1"/>
  <c r="AM13" i="1"/>
  <c r="AM37" i="1"/>
  <c r="AM7" i="1"/>
  <c r="AM15" i="1"/>
  <c r="AM23" i="1"/>
  <c r="AM31" i="1"/>
  <c r="AM39" i="1"/>
  <c r="AM47" i="1"/>
  <c r="AM55" i="1"/>
  <c r="AM63" i="1"/>
  <c r="P64" i="1"/>
  <c r="AG57" i="1"/>
  <c r="AG10" i="1"/>
  <c r="AG18" i="1"/>
  <c r="AG26" i="1"/>
  <c r="AG34" i="1"/>
  <c r="AG42" i="1"/>
  <c r="AG50" i="1"/>
  <c r="AG58" i="1"/>
  <c r="AG33" i="1"/>
  <c r="AG11" i="1"/>
  <c r="AG27" i="1"/>
  <c r="AG43" i="1"/>
  <c r="AG51" i="1"/>
  <c r="AG59" i="1"/>
  <c r="AG17" i="1"/>
  <c r="AG41" i="1"/>
  <c r="AG2" i="1"/>
  <c r="AG19" i="1"/>
  <c r="AG4" i="1"/>
  <c r="AG20" i="1"/>
  <c r="AG28" i="1"/>
  <c r="AG36" i="1"/>
  <c r="AG44" i="1"/>
  <c r="AG52" i="1"/>
  <c r="AG60" i="1"/>
  <c r="AG5" i="1"/>
  <c r="AG13" i="1"/>
  <c r="AG21" i="1"/>
  <c r="AG29" i="1"/>
  <c r="AG37" i="1"/>
  <c r="AG45" i="1"/>
  <c r="AG53" i="1"/>
  <c r="AG61" i="1"/>
  <c r="AG25" i="1"/>
  <c r="AG22" i="1"/>
  <c r="AG54" i="1"/>
  <c r="AG62" i="1"/>
  <c r="AG9" i="1"/>
  <c r="AG49" i="1"/>
  <c r="AG3" i="1"/>
  <c r="AG35" i="1"/>
  <c r="AG12" i="1"/>
  <c r="AG6" i="1"/>
  <c r="AG14" i="1"/>
  <c r="AG30" i="1"/>
  <c r="AG38" i="1"/>
  <c r="AG46" i="1"/>
  <c r="AG7" i="1"/>
  <c r="AG15" i="1"/>
  <c r="AG23" i="1"/>
  <c r="AG31" i="1"/>
  <c r="AG39" i="1"/>
  <c r="AG47" i="1"/>
  <c r="AG55" i="1"/>
  <c r="AG63" i="1"/>
  <c r="AG8" i="1"/>
  <c r="AG16" i="1"/>
  <c r="AG24" i="1"/>
  <c r="AG32" i="1"/>
  <c r="AG40" i="1"/>
  <c r="AG48" i="1"/>
  <c r="AG56" i="1"/>
  <c r="AG64" i="1"/>
  <c r="AA4" i="1"/>
  <c r="AA12" i="1"/>
  <c r="AA28" i="1"/>
  <c r="AA44" i="1"/>
  <c r="AA5" i="1"/>
  <c r="AA13" i="1"/>
  <c r="AA21" i="1"/>
  <c r="AA29" i="1"/>
  <c r="AA37" i="1"/>
  <c r="AA45" i="1"/>
  <c r="AA53" i="1"/>
  <c r="AA61" i="1"/>
  <c r="AA6" i="1"/>
  <c r="AA14" i="1"/>
  <c r="AA22" i="1"/>
  <c r="AA30" i="1"/>
  <c r="AA38" i="1"/>
  <c r="AA46" i="1"/>
  <c r="AA54" i="1"/>
  <c r="AA62" i="1"/>
  <c r="AA20" i="1"/>
  <c r="AA36" i="1"/>
  <c r="AA7" i="1"/>
  <c r="AA31" i="1"/>
  <c r="AA47" i="1"/>
  <c r="AA63" i="1"/>
  <c r="AA8" i="1"/>
  <c r="AA16" i="1"/>
  <c r="AA24" i="1"/>
  <c r="AA32" i="1"/>
  <c r="AA40" i="1"/>
  <c r="AA48" i="1"/>
  <c r="AA56" i="1"/>
  <c r="AA64" i="1"/>
  <c r="AA9" i="1"/>
  <c r="AA17" i="1"/>
  <c r="AA25" i="1"/>
  <c r="AA33" i="1"/>
  <c r="AA41" i="1"/>
  <c r="AA49" i="1"/>
  <c r="AA57" i="1"/>
  <c r="AA52" i="1"/>
  <c r="AA23" i="1"/>
  <c r="AA10" i="1"/>
  <c r="AA18" i="1"/>
  <c r="AA26" i="1"/>
  <c r="AA34" i="1"/>
  <c r="AA42" i="1"/>
  <c r="AA50" i="1"/>
  <c r="AA58" i="1"/>
  <c r="AA66" i="1"/>
  <c r="AA60" i="1"/>
  <c r="P58" i="1"/>
  <c r="AA15" i="1"/>
  <c r="AA39" i="1"/>
  <c r="P57" i="1"/>
  <c r="AA2" i="1"/>
  <c r="AA3" i="1"/>
  <c r="AA11" i="1"/>
  <c r="AA19" i="1"/>
  <c r="AA27" i="1"/>
  <c r="AA35" i="1"/>
  <c r="AA43" i="1"/>
  <c r="AA51" i="1"/>
  <c r="AA59" i="1"/>
  <c r="AA67" i="1"/>
  <c r="P71" i="1"/>
  <c r="P72" i="1"/>
  <c r="P70" i="1"/>
  <c r="P69" i="1"/>
  <c r="P68" i="1"/>
  <c r="P44" i="1" l="1"/>
  <c r="P45" i="1"/>
  <c r="P41" i="1"/>
  <c r="P46" i="1"/>
  <c r="P42" i="1"/>
  <c r="P43" i="1"/>
  <c r="P49" i="1"/>
  <c r="P47" i="1"/>
  <c r="P50" i="1"/>
  <c r="P48" i="1"/>
  <c r="P51" i="1"/>
  <c r="P52" i="1"/>
  <c r="P53" i="1"/>
  <c r="P55" i="1"/>
  <c r="P62" i="1"/>
  <c r="P59" i="1"/>
  <c r="P63" i="1"/>
  <c r="P60" i="1"/>
  <c r="P61" i="1"/>
  <c r="P66" i="1"/>
  <c r="P67" i="1"/>
</calcChain>
</file>

<file path=xl/sharedStrings.xml><?xml version="1.0" encoding="utf-8"?>
<sst xmlns="http://schemas.openxmlformats.org/spreadsheetml/2006/main" count="1283" uniqueCount="170">
  <si>
    <t>1:1-18</t>
  </si>
  <si>
    <t>4:1-54</t>
  </si>
  <si>
    <t>5:1-47</t>
  </si>
  <si>
    <t>6:1-71</t>
  </si>
  <si>
    <t>7:1-10:42</t>
  </si>
  <si>
    <t>7:1-13</t>
  </si>
  <si>
    <t>7:14-36</t>
  </si>
  <si>
    <t>10:22-39</t>
  </si>
  <si>
    <t>10:40-42</t>
  </si>
  <si>
    <t>11:1-20:29</t>
  </si>
  <si>
    <t>11:1-54</t>
  </si>
  <si>
    <t>11:55-57</t>
  </si>
  <si>
    <t>12:1-11</t>
  </si>
  <si>
    <t>12:12-36</t>
  </si>
  <si>
    <t>17:1-26</t>
  </si>
  <si>
    <t>20:1-29</t>
  </si>
  <si>
    <t>20:30-31</t>
  </si>
  <si>
    <t>21:1-25</t>
  </si>
  <si>
    <t>Giblin</t>
  </si>
  <si>
    <t>7:37-53&amp;8:1-59</t>
  </si>
  <si>
    <t>2:13-25&amp;3:1-36</t>
  </si>
  <si>
    <t>1:19-51&amp;2:1-12</t>
  </si>
  <si>
    <t>9:1-41&amp;10:1-21</t>
  </si>
  <si>
    <t>15:1-27&amp;16:1-33</t>
  </si>
  <si>
    <t>18:1-40&amp;19:1-42</t>
  </si>
  <si>
    <t>12:37-50</t>
  </si>
  <si>
    <t>Giblins structure</t>
  </si>
  <si>
    <t>Word Count</t>
  </si>
  <si>
    <t>2:1-12</t>
  </si>
  <si>
    <t>1:19-34</t>
  </si>
  <si>
    <t>1:35-51</t>
  </si>
  <si>
    <t>2:13-25</t>
  </si>
  <si>
    <t>3:1-21</t>
  </si>
  <si>
    <t>3:22-36</t>
  </si>
  <si>
    <t>4:1-14</t>
  </si>
  <si>
    <t>4:15-26</t>
  </si>
  <si>
    <t>4:27-38</t>
  </si>
  <si>
    <t>4:39-54</t>
  </si>
  <si>
    <t>6:1-13</t>
  </si>
  <si>
    <t>6:14-25</t>
  </si>
  <si>
    <t>6:26-41</t>
  </si>
  <si>
    <t>6:42-51</t>
  </si>
  <si>
    <t>6:52-59</t>
  </si>
  <si>
    <t>6:60-71</t>
  </si>
  <si>
    <t>7:37-52</t>
  </si>
  <si>
    <t>7:53-53&amp;8:1-11</t>
  </si>
  <si>
    <t>8:12-20</t>
  </si>
  <si>
    <t>8:21-29</t>
  </si>
  <si>
    <t>8:30-47</t>
  </si>
  <si>
    <t>8:48-59</t>
  </si>
  <si>
    <t>9:1-17</t>
  </si>
  <si>
    <t>9:18-29</t>
  </si>
  <si>
    <t>9:30-41</t>
  </si>
  <si>
    <t>10:1-10</t>
  </si>
  <si>
    <t>10:11-21</t>
  </si>
  <si>
    <t>11:1-10</t>
  </si>
  <si>
    <t>11:11-19</t>
  </si>
  <si>
    <t>11:20-31</t>
  </si>
  <si>
    <t>11:32-44</t>
  </si>
  <si>
    <t>11:45-54</t>
  </si>
  <si>
    <t>12:12-26</t>
  </si>
  <si>
    <t>12:27-36</t>
  </si>
  <si>
    <t>13:1-38&amp;14:1-31</t>
  </si>
  <si>
    <t>13:1-11</t>
  </si>
  <si>
    <t>13:12-30</t>
  </si>
  <si>
    <t>13:31-38</t>
  </si>
  <si>
    <t>14:1-11</t>
  </si>
  <si>
    <t>14:12-21</t>
  </si>
  <si>
    <t>14:22-31</t>
  </si>
  <si>
    <t>15:1-11</t>
  </si>
  <si>
    <t>15:12-27</t>
  </si>
  <si>
    <t>16:1-11</t>
  </si>
  <si>
    <t>16:12-22</t>
  </si>
  <si>
    <t>16:23-33</t>
  </si>
  <si>
    <t>17:1-8</t>
  </si>
  <si>
    <t>17:9-26</t>
  </si>
  <si>
    <t>18:1-9</t>
  </si>
  <si>
    <t>18:10-21</t>
  </si>
  <si>
    <t>18:22-28</t>
  </si>
  <si>
    <t>18:29-40</t>
  </si>
  <si>
    <t>19:1-11</t>
  </si>
  <si>
    <t>19:12-22</t>
  </si>
  <si>
    <t>19:23-30</t>
  </si>
  <si>
    <t>19:31-42</t>
  </si>
  <si>
    <t>20:1-13</t>
  </si>
  <si>
    <t>20:14-29</t>
  </si>
  <si>
    <t>20:1-11</t>
  </si>
  <si>
    <t>20:12-25</t>
  </si>
  <si>
    <t>Subdivision of Giblin according to NA28</t>
  </si>
  <si>
    <t>7:37-8:59</t>
  </si>
  <si>
    <t>9:1-10:21</t>
  </si>
  <si>
    <t>13:1-14:31</t>
  </si>
  <si>
    <t>15:1-16:33</t>
  </si>
  <si>
    <t>18:1-19:-42</t>
  </si>
  <si>
    <t>1:19-2:12</t>
  </si>
  <si>
    <t>2:13-3:36</t>
  </si>
  <si>
    <t>7:53-8:11</t>
  </si>
  <si>
    <t>Mean =</t>
  </si>
  <si>
    <t>Delta</t>
  </si>
  <si>
    <t>Tau =</t>
  </si>
  <si>
    <t>Stdev =</t>
  </si>
  <si>
    <t>Tau*S =</t>
  </si>
  <si>
    <t>5:1-16</t>
  </si>
  <si>
    <t>5:17-30</t>
  </si>
  <si>
    <t>5:31-47</t>
  </si>
  <si>
    <t>Use for Data</t>
  </si>
  <si>
    <t xml:space="preserve"> </t>
  </si>
  <si>
    <t>1:1-8</t>
  </si>
  <si>
    <t>1:9-18</t>
  </si>
  <si>
    <t>1:19-28</t>
  </si>
  <si>
    <t>1:29-39</t>
  </si>
  <si>
    <t>1:40-51</t>
  </si>
  <si>
    <t>2:13-22</t>
  </si>
  <si>
    <t>2:23-25&amp;3:1-8</t>
  </si>
  <si>
    <t>3:9-21</t>
  </si>
  <si>
    <t>3:22-30</t>
  </si>
  <si>
    <t>3:31-36&amp;4:1-3</t>
  </si>
  <si>
    <t>4:4-14</t>
  </si>
  <si>
    <t>4:39-46</t>
  </si>
  <si>
    <t>4:47-54</t>
  </si>
  <si>
    <t>5:1-9</t>
  </si>
  <si>
    <t>5:10-18</t>
  </si>
  <si>
    <t>5:19-29</t>
  </si>
  <si>
    <t>5:30-39</t>
  </si>
  <si>
    <t>5:40-47</t>
  </si>
  <si>
    <t>6:14-21</t>
  </si>
  <si>
    <t>6:22-29</t>
  </si>
  <si>
    <t>6:30-40</t>
  </si>
  <si>
    <t>6:41-51</t>
  </si>
  <si>
    <t>7:14-24</t>
  </si>
  <si>
    <t>7:37-44</t>
  </si>
  <si>
    <t>7:45-52</t>
  </si>
  <si>
    <t>8:30-41</t>
  </si>
  <si>
    <t>8:41-51</t>
  </si>
  <si>
    <t>8:52-59</t>
  </si>
  <si>
    <t>9:1-12</t>
  </si>
  <si>
    <t>9:13-23</t>
  </si>
  <si>
    <t>9:23-29</t>
  </si>
  <si>
    <t>10:22-30</t>
  </si>
  <si>
    <t>10:31-39</t>
  </si>
  <si>
    <t>11:11-21</t>
  </si>
  <si>
    <t>11:22-31</t>
  </si>
  <si>
    <t>12:12-19</t>
  </si>
  <si>
    <t>12:20-26</t>
  </si>
  <si>
    <t>12:27-33</t>
  </si>
  <si>
    <t>12:34-40</t>
  </si>
  <si>
    <t>12:41-50</t>
  </si>
  <si>
    <t>13:12-20</t>
  </si>
  <si>
    <t>13:21-30</t>
  </si>
  <si>
    <t>15:1-8</t>
  </si>
  <si>
    <t>15:9-17</t>
  </si>
  <si>
    <t>15:18-27</t>
  </si>
  <si>
    <t>17:9-19</t>
  </si>
  <si>
    <t>17:20-26</t>
  </si>
  <si>
    <t>18:10-18</t>
  </si>
  <si>
    <t>18:19-28</t>
  </si>
  <si>
    <t>18:29-37</t>
  </si>
  <si>
    <t>18:38-40&amp;19:1-5</t>
  </si>
  <si>
    <t>19:6-11</t>
  </si>
  <si>
    <t>19:12-19</t>
  </si>
  <si>
    <t>19:20-27</t>
  </si>
  <si>
    <t>19:28-37</t>
  </si>
  <si>
    <t>19:38-42</t>
  </si>
  <si>
    <t>20:1-10</t>
  </si>
  <si>
    <t>20:11-18</t>
  </si>
  <si>
    <t>20:19-29</t>
  </si>
  <si>
    <t>21:1-11</t>
  </si>
  <si>
    <t>21:12-17</t>
  </si>
  <si>
    <t>21:18-25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</si>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</sst>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mbria"/>
      <family val="1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20" fontId="0" fillId="0" borderId="0" xfId="0" applyNumberFormat="1"/>
    <xf numFmtId="0" fontId="1" fillId="0" borderId="0" xfId="0" applyFont="1"/>
    <xf numFmtId="0" fontId="2" fillId="0" borderId="0" xfId="0" applyFont="1" applyBorder="1" applyAlignment="1">
      <alignment horizontal="center" vertical="top"/>
    </xf>
    <xf numFmtId="0" fontId="0" fillId="0" borderId="0" xfId="0" applyFont="1" applyBorder="1"/>
    <xf numFmtId="0" fontId="1" fillId="0" borderId="0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3" fillId="0" borderId="0" xfId="0" applyFo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3" fillId="2" borderId="0" xfId="0" applyFont="1" applyFill="1"/>
    <xf numFmtId="0" fontId="6" fillId="2" borderId="0" xfId="0" applyFont="1" applyFill="1" applyAlignment="1">
      <alignment horizontal="right" vertical="center"/>
    </xf>
    <xf numFmtId="0" fontId="0" fillId="2" borderId="0" xfId="0" applyFill="1"/>
    <xf numFmtId="0" fontId="3" fillId="3" borderId="0" xfId="0" applyFont="1" applyFill="1"/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horizontal="right" vertical="center"/>
    </xf>
    <xf numFmtId="0" fontId="0" fillId="3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789A-6131-0B49-B32D-491BE4AD6ECB}">
  <dimension ref="A1:CV97"/>
  <sheetViews>
    <sheetView tabSelected="1" workbookViewId="0">
      <selection activeCell="F8" sqref="F8"/>
    </sheetView>
  </sheetViews>
  <sheetFormatPr baseColWidth="10" defaultRowHeight="16"/>
  <cols>
    <col min="1" max="1" width="15.83203125" customWidth="1"/>
    <col min="4" max="4" width="16.33203125" customWidth="1"/>
    <col min="6" max="6" width="17.83203125" customWidth="1"/>
  </cols>
  <sheetData>
    <row r="1" spans="1:100">
      <c r="A1" t="s">
        <v>18</v>
      </c>
      <c r="D1" s="3" t="s">
        <v>26</v>
      </c>
      <c r="E1" s="3" t="s">
        <v>27</v>
      </c>
      <c r="F1" s="4" t="s">
        <v>169</v>
      </c>
      <c r="G1" s="3" t="s">
        <v>27</v>
      </c>
      <c r="I1" s="6" t="s">
        <v>26</v>
      </c>
      <c r="J1" s="6" t="s">
        <v>27</v>
      </c>
      <c r="K1" s="7" t="s">
        <v>88</v>
      </c>
      <c r="L1" s="6" t="s">
        <v>27</v>
      </c>
      <c r="M1" s="6" t="s">
        <v>98</v>
      </c>
      <c r="N1" s="6" t="s">
        <v>97</v>
      </c>
      <c r="O1">
        <f>AVERAGE(L2:L60)</f>
        <v>198.62162162162161</v>
      </c>
      <c r="R1" s="6" t="s">
        <v>26</v>
      </c>
      <c r="S1" s="6" t="s">
        <v>27</v>
      </c>
      <c r="T1" s="7" t="s">
        <v>88</v>
      </c>
      <c r="U1" s="6" t="s">
        <v>27</v>
      </c>
      <c r="W1" s="6" t="s">
        <v>26</v>
      </c>
      <c r="X1" s="6" t="s">
        <v>27</v>
      </c>
      <c r="Y1" s="7" t="s">
        <v>88</v>
      </c>
      <c r="Z1" s="6" t="s">
        <v>27</v>
      </c>
      <c r="AA1" s="6" t="s">
        <v>98</v>
      </c>
      <c r="AC1" s="6" t="s">
        <v>26</v>
      </c>
      <c r="AD1" s="6" t="s">
        <v>27</v>
      </c>
      <c r="AE1" s="7" t="s">
        <v>88</v>
      </c>
      <c r="AF1" s="6" t="s">
        <v>27</v>
      </c>
      <c r="AG1" s="6" t="s">
        <v>98</v>
      </c>
      <c r="AI1" s="6" t="s">
        <v>26</v>
      </c>
      <c r="AJ1" s="6" t="s">
        <v>27</v>
      </c>
      <c r="AK1" s="7" t="s">
        <v>88</v>
      </c>
      <c r="AL1" s="6" t="s">
        <v>27</v>
      </c>
      <c r="AM1" s="6" t="s">
        <v>98</v>
      </c>
      <c r="AO1" s="6" t="s">
        <v>26</v>
      </c>
      <c r="AP1" s="6" t="s">
        <v>27</v>
      </c>
      <c r="AQ1" s="7" t="s">
        <v>88</v>
      </c>
      <c r="AR1" s="6" t="s">
        <v>27</v>
      </c>
      <c r="AS1" s="6" t="s">
        <v>98</v>
      </c>
      <c r="AU1" s="6" t="s">
        <v>26</v>
      </c>
      <c r="AV1" s="6" t="s">
        <v>27</v>
      </c>
      <c r="AW1" s="7" t="s">
        <v>88</v>
      </c>
      <c r="AX1" s="6" t="s">
        <v>27</v>
      </c>
      <c r="AY1" s="6" t="s">
        <v>98</v>
      </c>
      <c r="BA1" s="6" t="s">
        <v>26</v>
      </c>
      <c r="BB1" s="6" t="s">
        <v>27</v>
      </c>
      <c r="BC1" s="7" t="s">
        <v>88</v>
      </c>
      <c r="BD1" s="6" t="s">
        <v>27</v>
      </c>
      <c r="BF1" s="6" t="s">
        <v>26</v>
      </c>
      <c r="BG1" s="6" t="s">
        <v>27</v>
      </c>
      <c r="BH1" s="7" t="s">
        <v>88</v>
      </c>
      <c r="BI1" s="6" t="s">
        <v>27</v>
      </c>
      <c r="BJ1" s="6" t="s">
        <v>98</v>
      </c>
      <c r="BL1" s="6" t="s">
        <v>26</v>
      </c>
      <c r="BM1" s="6" t="s">
        <v>27</v>
      </c>
      <c r="BN1" s="7" t="s">
        <v>88</v>
      </c>
      <c r="BO1" s="6" t="s">
        <v>27</v>
      </c>
      <c r="BP1" s="6" t="s">
        <v>98</v>
      </c>
      <c r="BR1" s="6" t="s">
        <v>26</v>
      </c>
      <c r="BS1" s="6" t="s">
        <v>27</v>
      </c>
      <c r="BT1" s="7" t="s">
        <v>88</v>
      </c>
      <c r="BU1" s="6" t="s">
        <v>27</v>
      </c>
      <c r="BV1" s="6" t="s">
        <v>98</v>
      </c>
      <c r="BX1" s="6" t="s">
        <v>26</v>
      </c>
      <c r="BY1" s="6" t="s">
        <v>27</v>
      </c>
      <c r="BZ1" s="7" t="s">
        <v>88</v>
      </c>
      <c r="CA1" s="6" t="s">
        <v>27</v>
      </c>
      <c r="CB1" s="6" t="s">
        <v>98</v>
      </c>
      <c r="CD1" s="6" t="s">
        <v>26</v>
      </c>
      <c r="CE1" s="6" t="s">
        <v>27</v>
      </c>
      <c r="CF1" s="7" t="s">
        <v>88</v>
      </c>
      <c r="CG1" s="6" t="s">
        <v>27</v>
      </c>
      <c r="CH1" s="6" t="s">
        <v>98</v>
      </c>
      <c r="CJ1" s="6" t="s">
        <v>26</v>
      </c>
      <c r="CK1" s="6" t="s">
        <v>27</v>
      </c>
      <c r="CL1" s="7" t="s">
        <v>88</v>
      </c>
      <c r="CM1" s="6" t="s">
        <v>27</v>
      </c>
      <c r="CN1" s="6" t="s">
        <v>98</v>
      </c>
      <c r="CS1" s="6" t="s">
        <v>26</v>
      </c>
      <c r="CT1" s="6" t="s">
        <v>27</v>
      </c>
      <c r="CU1" s="7" t="s">
        <v>105</v>
      </c>
      <c r="CV1" s="6" t="s">
        <v>27</v>
      </c>
    </row>
    <row r="2" spans="1:100">
      <c r="A2" t="s">
        <v>0</v>
      </c>
      <c r="D2" s="4" t="s">
        <v>0</v>
      </c>
      <c r="E2" s="4">
        <v>252</v>
      </c>
      <c r="F2" s="4" t="s">
        <v>107</v>
      </c>
      <c r="G2" s="5"/>
      <c r="I2" s="10"/>
      <c r="J2" s="10"/>
      <c r="K2" s="7" t="s">
        <v>28</v>
      </c>
      <c r="L2" s="9">
        <v>209</v>
      </c>
      <c r="M2">
        <f t="shared" ref="M2:M38" si="0">ABS(L2 - $O$1)</f>
        <v>10.378378378378386</v>
      </c>
      <c r="N2" t="s">
        <v>100</v>
      </c>
      <c r="O2">
        <f>STDEV(L2:L60)</f>
        <v>18.103638908842107</v>
      </c>
      <c r="P2">
        <f>IF(M2&gt;$O$4,1,0)</f>
        <v>0</v>
      </c>
      <c r="R2" s="7" t="s">
        <v>0</v>
      </c>
      <c r="S2" s="8">
        <v>252</v>
      </c>
      <c r="T2" s="7" t="s">
        <v>0</v>
      </c>
      <c r="U2" s="9">
        <v>252</v>
      </c>
      <c r="W2" s="7" t="s">
        <v>0</v>
      </c>
      <c r="X2" s="8">
        <v>252</v>
      </c>
      <c r="Y2" s="7" t="s">
        <v>0</v>
      </c>
      <c r="Z2" s="9">
        <v>252</v>
      </c>
      <c r="AA2">
        <f>ABS(Z2 - $O$1)</f>
        <v>53.378378378378386</v>
      </c>
      <c r="AC2" s="7" t="s">
        <v>0</v>
      </c>
      <c r="AD2" s="8">
        <v>252</v>
      </c>
      <c r="AE2" s="7" t="s">
        <v>0</v>
      </c>
      <c r="AF2" s="9">
        <v>252</v>
      </c>
      <c r="AG2">
        <f t="shared" ref="AG2:AG33" si="1">ABS(AF2 - $O$1)</f>
        <v>53.378378378378386</v>
      </c>
      <c r="AI2" s="7" t="s">
        <v>0</v>
      </c>
      <c r="AJ2" s="8">
        <v>252</v>
      </c>
      <c r="AK2" s="7" t="s">
        <v>0</v>
      </c>
      <c r="AL2" s="9">
        <v>252</v>
      </c>
      <c r="AM2">
        <f t="shared" ref="AM2:AM33" si="2">ABS(AL2 - $O$1)</f>
        <v>53.378378378378386</v>
      </c>
      <c r="AO2" s="7" t="s">
        <v>0</v>
      </c>
      <c r="AP2" s="8">
        <v>252</v>
      </c>
      <c r="AQ2" s="7" t="s">
        <v>0</v>
      </c>
      <c r="AR2" s="9">
        <v>252</v>
      </c>
      <c r="AS2">
        <f t="shared" ref="AS2:AS33" si="3">ABS(AR2 - $O$1)</f>
        <v>53.378378378378386</v>
      </c>
      <c r="AU2" s="7" t="s">
        <v>0</v>
      </c>
      <c r="AV2" s="8">
        <v>252</v>
      </c>
      <c r="AW2" s="7" t="s">
        <v>0</v>
      </c>
      <c r="AX2" s="9">
        <v>252</v>
      </c>
      <c r="AY2">
        <f t="shared" ref="AY2:AY33" si="4">ABS(AX2 - $O$1)</f>
        <v>53.378378378378386</v>
      </c>
      <c r="BA2" s="7" t="s">
        <v>0</v>
      </c>
      <c r="BB2" s="8">
        <v>252</v>
      </c>
      <c r="BC2" s="7" t="s">
        <v>0</v>
      </c>
      <c r="BD2" s="9">
        <v>252</v>
      </c>
      <c r="BF2" s="7" t="s">
        <v>0</v>
      </c>
      <c r="BG2" s="8">
        <v>252</v>
      </c>
      <c r="BH2" s="7" t="s">
        <v>0</v>
      </c>
      <c r="BI2" s="9">
        <v>252</v>
      </c>
      <c r="BJ2">
        <f>ABS(BI2 - $O$1)</f>
        <v>53.378378378378386</v>
      </c>
      <c r="BL2" s="7" t="s">
        <v>0</v>
      </c>
      <c r="BM2" s="8">
        <v>252</v>
      </c>
      <c r="BN2" s="7" t="s">
        <v>0</v>
      </c>
      <c r="BO2" s="9">
        <v>252</v>
      </c>
      <c r="BP2">
        <f>ABS(BO2 - $O$1)</f>
        <v>53.378378378378386</v>
      </c>
      <c r="BR2" s="7" t="s">
        <v>0</v>
      </c>
      <c r="BS2" s="8">
        <v>252</v>
      </c>
      <c r="BT2" s="7" t="s">
        <v>0</v>
      </c>
      <c r="BU2" s="9">
        <v>252</v>
      </c>
      <c r="BV2">
        <f>ABS(BU2 - $O$1)</f>
        <v>53.378378378378386</v>
      </c>
      <c r="BX2" s="11" t="s">
        <v>0</v>
      </c>
      <c r="BY2" s="12">
        <v>252</v>
      </c>
      <c r="BZ2" s="11" t="s">
        <v>0</v>
      </c>
      <c r="CA2" s="14">
        <v>252</v>
      </c>
      <c r="CB2" s="15">
        <f>ABS(CA2 - $O$1)</f>
        <v>53.378378378378386</v>
      </c>
      <c r="CD2" s="10"/>
      <c r="CE2" s="10"/>
      <c r="CF2" s="7" t="s">
        <v>28</v>
      </c>
      <c r="CG2" s="9">
        <v>209</v>
      </c>
      <c r="CH2">
        <f t="shared" ref="CH2:CH42" si="5">ABS(CG2 - $O$1)</f>
        <v>10.378378378378386</v>
      </c>
      <c r="CJ2" s="10"/>
      <c r="CK2" s="10"/>
      <c r="CL2" s="7" t="s">
        <v>28</v>
      </c>
      <c r="CM2" s="9">
        <v>209</v>
      </c>
      <c r="CN2">
        <f t="shared" ref="CN2:CN40" si="6">ABS(CM2 - $O$1)</f>
        <v>10.378378378378386</v>
      </c>
      <c r="CS2" s="7" t="s">
        <v>0</v>
      </c>
      <c r="CT2" s="8">
        <v>252</v>
      </c>
      <c r="CU2" s="7" t="s">
        <v>0</v>
      </c>
      <c r="CV2" s="9">
        <v>252</v>
      </c>
    </row>
    <row r="3" spans="1:100">
      <c r="F3" t="s">
        <v>108</v>
      </c>
      <c r="I3" s="7" t="s">
        <v>95</v>
      </c>
      <c r="J3" s="8">
        <v>880</v>
      </c>
      <c r="K3" s="7" t="s">
        <v>31</v>
      </c>
      <c r="L3" s="9">
        <v>222</v>
      </c>
      <c r="M3">
        <f t="shared" si="0"/>
        <v>23.378378378378386</v>
      </c>
      <c r="N3" t="s">
        <v>99</v>
      </c>
      <c r="O3">
        <v>1.923</v>
      </c>
      <c r="P3">
        <f t="shared" ref="P3:P25" si="7">IF(M3&gt;$O$4,1,0)</f>
        <v>0</v>
      </c>
      <c r="R3" s="7" t="s">
        <v>94</v>
      </c>
      <c r="S3" s="8">
        <v>786</v>
      </c>
      <c r="T3" s="7" t="s">
        <v>29</v>
      </c>
      <c r="U3" s="9">
        <v>272</v>
      </c>
      <c r="W3" s="7" t="s">
        <v>94</v>
      </c>
      <c r="X3" s="8">
        <v>786</v>
      </c>
      <c r="Y3" s="7" t="s">
        <v>29</v>
      </c>
      <c r="Z3" s="9">
        <v>272</v>
      </c>
      <c r="AA3">
        <f t="shared" ref="AA3:AA65" si="8">ABS(Z3 - $O$1)</f>
        <v>73.378378378378386</v>
      </c>
      <c r="AC3" s="7" t="s">
        <v>94</v>
      </c>
      <c r="AD3" s="8">
        <v>786</v>
      </c>
      <c r="AE3" s="7" t="s">
        <v>29</v>
      </c>
      <c r="AF3" s="9">
        <v>272</v>
      </c>
      <c r="AG3">
        <f t="shared" si="1"/>
        <v>73.378378378378386</v>
      </c>
      <c r="AI3" s="7" t="s">
        <v>94</v>
      </c>
      <c r="AJ3" s="8">
        <v>786</v>
      </c>
      <c r="AK3" s="7" t="s">
        <v>29</v>
      </c>
      <c r="AL3" s="9">
        <v>272</v>
      </c>
      <c r="AM3">
        <f t="shared" si="2"/>
        <v>73.378378378378386</v>
      </c>
      <c r="AO3" s="7" t="s">
        <v>94</v>
      </c>
      <c r="AP3" s="8">
        <v>786</v>
      </c>
      <c r="AQ3" s="7" t="s">
        <v>29</v>
      </c>
      <c r="AR3" s="9">
        <v>272</v>
      </c>
      <c r="AS3">
        <f t="shared" si="3"/>
        <v>73.378378378378386</v>
      </c>
      <c r="AU3" s="7" t="s">
        <v>94</v>
      </c>
      <c r="AV3" s="8">
        <v>786</v>
      </c>
      <c r="AW3" s="7" t="s">
        <v>29</v>
      </c>
      <c r="AX3" s="9">
        <v>272</v>
      </c>
      <c r="AY3">
        <f t="shared" si="4"/>
        <v>73.378378378378386</v>
      </c>
      <c r="BA3" s="11" t="s">
        <v>94</v>
      </c>
      <c r="BB3" s="12">
        <v>786</v>
      </c>
      <c r="BC3" s="11" t="s">
        <v>29</v>
      </c>
      <c r="BD3" s="14">
        <v>272</v>
      </c>
      <c r="BF3" s="10"/>
      <c r="BG3" s="10"/>
      <c r="BH3" s="7" t="s">
        <v>28</v>
      </c>
      <c r="BI3" s="9">
        <v>209</v>
      </c>
      <c r="BJ3">
        <f t="shared" ref="BJ3:BJ51" si="9">ABS(BI3 - $O$1)</f>
        <v>10.378378378378386</v>
      </c>
      <c r="BL3" s="10"/>
      <c r="BM3" s="10"/>
      <c r="BN3" s="7" t="s">
        <v>28</v>
      </c>
      <c r="BO3" s="9">
        <v>209</v>
      </c>
      <c r="BP3">
        <f t="shared" ref="BP3:BP50" si="10">ABS(BO3 - $O$1)</f>
        <v>10.378378378378386</v>
      </c>
      <c r="BR3" s="10"/>
      <c r="BS3" s="10"/>
      <c r="BT3" s="7" t="s">
        <v>28</v>
      </c>
      <c r="BU3" s="9">
        <v>209</v>
      </c>
      <c r="BV3">
        <f t="shared" ref="BV3:BV8" si="11">ABS(BU3 - $O$1)</f>
        <v>10.378378378378386</v>
      </c>
      <c r="BX3" s="10"/>
      <c r="BY3" s="10"/>
      <c r="BZ3" s="7" t="s">
        <v>28</v>
      </c>
      <c r="CA3" s="9">
        <v>209</v>
      </c>
      <c r="CB3">
        <f t="shared" ref="CB3:CB4" si="12">ABS(CA3 - $O$1)</f>
        <v>10.378378378378386</v>
      </c>
      <c r="CD3" s="7" t="s">
        <v>95</v>
      </c>
      <c r="CE3" s="8">
        <v>880</v>
      </c>
      <c r="CF3" s="7" t="s">
        <v>31</v>
      </c>
      <c r="CG3" s="9">
        <v>222</v>
      </c>
      <c r="CH3">
        <f t="shared" si="5"/>
        <v>23.378378378378386</v>
      </c>
      <c r="CJ3" s="7" t="s">
        <v>95</v>
      </c>
      <c r="CK3" s="8">
        <v>880</v>
      </c>
      <c r="CL3" s="7" t="s">
        <v>31</v>
      </c>
      <c r="CM3" s="9">
        <v>222</v>
      </c>
      <c r="CN3">
        <f t="shared" si="6"/>
        <v>23.378378378378386</v>
      </c>
      <c r="CS3" s="7" t="s">
        <v>94</v>
      </c>
      <c r="CT3" s="8">
        <v>786</v>
      </c>
      <c r="CU3" s="7" t="s">
        <v>29</v>
      </c>
      <c r="CV3" s="9">
        <v>272</v>
      </c>
    </row>
    <row r="4" spans="1:100">
      <c r="A4" t="s">
        <v>21</v>
      </c>
      <c r="D4" s="4" t="s">
        <v>21</v>
      </c>
      <c r="E4" s="4">
        <v>786</v>
      </c>
      <c r="F4" s="4" t="s">
        <v>109</v>
      </c>
      <c r="G4" s="5"/>
      <c r="I4" s="10"/>
      <c r="J4" s="10"/>
      <c r="K4" s="7" t="s">
        <v>35</v>
      </c>
      <c r="L4" s="9">
        <v>195</v>
      </c>
      <c r="M4">
        <f t="shared" si="0"/>
        <v>3.6216216216216139</v>
      </c>
      <c r="N4" t="s">
        <v>101</v>
      </c>
      <c r="O4">
        <f>O3*O2</f>
        <v>34.81329762170337</v>
      </c>
      <c r="P4">
        <f t="shared" si="7"/>
        <v>0</v>
      </c>
      <c r="R4" s="10"/>
      <c r="S4" s="10"/>
      <c r="T4" s="7" t="s">
        <v>30</v>
      </c>
      <c r="U4" s="9">
        <v>305</v>
      </c>
      <c r="W4" s="10"/>
      <c r="X4" s="10"/>
      <c r="Y4" s="7" t="s">
        <v>30</v>
      </c>
      <c r="Z4" s="9">
        <v>305</v>
      </c>
      <c r="AA4">
        <f t="shared" si="8"/>
        <v>106.37837837837839</v>
      </c>
      <c r="AC4" s="10"/>
      <c r="AD4" s="10"/>
      <c r="AE4" s="7" t="s">
        <v>30</v>
      </c>
      <c r="AF4" s="9">
        <v>305</v>
      </c>
      <c r="AG4">
        <f t="shared" si="1"/>
        <v>106.37837837837839</v>
      </c>
      <c r="AI4" s="13"/>
      <c r="AJ4" s="13"/>
      <c r="AK4" s="11" t="s">
        <v>30</v>
      </c>
      <c r="AL4" s="14">
        <v>305</v>
      </c>
      <c r="AM4" s="15">
        <f t="shared" si="2"/>
        <v>106.37837837837839</v>
      </c>
      <c r="AO4" s="10"/>
      <c r="AP4" s="10"/>
      <c r="AQ4" s="7" t="s">
        <v>28</v>
      </c>
      <c r="AR4" s="9">
        <v>209</v>
      </c>
      <c r="AS4">
        <f t="shared" si="3"/>
        <v>10.378378378378386</v>
      </c>
      <c r="AU4" s="10"/>
      <c r="AV4" s="10"/>
      <c r="AW4" s="7" t="s">
        <v>28</v>
      </c>
      <c r="AX4" s="9">
        <v>209</v>
      </c>
      <c r="AY4">
        <f t="shared" si="4"/>
        <v>10.378378378378386</v>
      </c>
      <c r="BA4" s="10"/>
      <c r="BB4" s="10"/>
      <c r="BC4" s="7" t="s">
        <v>28</v>
      </c>
      <c r="BD4" s="9">
        <v>209</v>
      </c>
      <c r="BF4" s="7" t="s">
        <v>95</v>
      </c>
      <c r="BG4" s="8">
        <v>880</v>
      </c>
      <c r="BH4" s="7" t="s">
        <v>31</v>
      </c>
      <c r="BI4" s="9">
        <v>222</v>
      </c>
      <c r="BJ4">
        <f t="shared" si="9"/>
        <v>23.378378378378386</v>
      </c>
      <c r="BL4" s="7" t="s">
        <v>95</v>
      </c>
      <c r="BM4" s="8">
        <v>880</v>
      </c>
      <c r="BN4" s="7" t="s">
        <v>31</v>
      </c>
      <c r="BO4" s="9">
        <v>222</v>
      </c>
      <c r="BP4">
        <f t="shared" si="10"/>
        <v>23.378378378378386</v>
      </c>
      <c r="BR4" s="7" t="s">
        <v>95</v>
      </c>
      <c r="BS4" s="8">
        <v>880</v>
      </c>
      <c r="BT4" s="7" t="s">
        <v>31</v>
      </c>
      <c r="BU4" s="9">
        <v>222</v>
      </c>
      <c r="BV4">
        <f t="shared" si="11"/>
        <v>23.378378378378386</v>
      </c>
      <c r="BX4" s="7" t="s">
        <v>95</v>
      </c>
      <c r="BY4" s="8">
        <v>880</v>
      </c>
      <c r="BZ4" s="7" t="s">
        <v>31</v>
      </c>
      <c r="CA4" s="9">
        <v>222</v>
      </c>
      <c r="CB4">
        <f t="shared" si="12"/>
        <v>23.378378378378386</v>
      </c>
      <c r="CD4" s="10"/>
      <c r="CE4" s="10"/>
      <c r="CF4" s="7" t="s">
        <v>35</v>
      </c>
      <c r="CG4" s="9">
        <v>195</v>
      </c>
      <c r="CH4">
        <f t="shared" si="5"/>
        <v>3.6216216216216139</v>
      </c>
      <c r="CJ4" s="10"/>
      <c r="CK4" s="10"/>
      <c r="CL4" s="7" t="s">
        <v>35</v>
      </c>
      <c r="CM4" s="9">
        <v>195</v>
      </c>
      <c r="CN4">
        <f t="shared" si="6"/>
        <v>3.6216216216216139</v>
      </c>
      <c r="CS4" s="10"/>
      <c r="CT4" s="10"/>
      <c r="CU4" s="7" t="s">
        <v>30</v>
      </c>
      <c r="CV4" s="9">
        <v>305</v>
      </c>
    </row>
    <row r="5" spans="1:100">
      <c r="A5" t="s">
        <v>20</v>
      </c>
      <c r="F5" t="s">
        <v>110</v>
      </c>
      <c r="G5" s="2"/>
      <c r="I5" s="10"/>
      <c r="J5" s="10"/>
      <c r="K5" s="7" t="s">
        <v>36</v>
      </c>
      <c r="L5" s="9">
        <v>192</v>
      </c>
      <c r="M5">
        <f t="shared" si="0"/>
        <v>6.6216216216216139</v>
      </c>
      <c r="P5">
        <f t="shared" si="7"/>
        <v>0</v>
      </c>
      <c r="R5" s="10"/>
      <c r="S5" s="10"/>
      <c r="T5" s="7" t="s">
        <v>28</v>
      </c>
      <c r="U5" s="9">
        <v>209</v>
      </c>
      <c r="W5" s="10"/>
      <c r="X5" s="10"/>
      <c r="Y5" s="7" t="s">
        <v>28</v>
      </c>
      <c r="Z5" s="9">
        <v>209</v>
      </c>
      <c r="AA5">
        <f t="shared" si="8"/>
        <v>10.378378378378386</v>
      </c>
      <c r="AC5" s="10"/>
      <c r="AD5" s="10"/>
      <c r="AE5" s="7" t="s">
        <v>28</v>
      </c>
      <c r="AF5" s="9">
        <v>209</v>
      </c>
      <c r="AG5">
        <f t="shared" si="1"/>
        <v>10.378378378378386</v>
      </c>
      <c r="AI5" s="10"/>
      <c r="AJ5" s="10"/>
      <c r="AK5" s="7" t="s">
        <v>28</v>
      </c>
      <c r="AL5" s="9">
        <v>209</v>
      </c>
      <c r="AM5">
        <f t="shared" si="2"/>
        <v>10.378378378378386</v>
      </c>
      <c r="AO5" s="7" t="s">
        <v>95</v>
      </c>
      <c r="AP5" s="8">
        <v>880</v>
      </c>
      <c r="AQ5" s="7" t="s">
        <v>31</v>
      </c>
      <c r="AR5" s="9">
        <v>222</v>
      </c>
      <c r="AS5">
        <f t="shared" si="3"/>
        <v>23.378378378378386</v>
      </c>
      <c r="AU5" s="7" t="s">
        <v>95</v>
      </c>
      <c r="AV5" s="8">
        <v>880</v>
      </c>
      <c r="AW5" s="7" t="s">
        <v>31</v>
      </c>
      <c r="AX5" s="9">
        <v>222</v>
      </c>
      <c r="AY5">
        <f t="shared" si="4"/>
        <v>23.378378378378386</v>
      </c>
      <c r="BA5" s="7" t="s">
        <v>95</v>
      </c>
      <c r="BB5" s="8">
        <v>880</v>
      </c>
      <c r="BC5" s="7" t="s">
        <v>31</v>
      </c>
      <c r="BD5" s="9">
        <v>222</v>
      </c>
      <c r="BF5" s="13"/>
      <c r="BG5" s="13"/>
      <c r="BH5" s="11" t="s">
        <v>33</v>
      </c>
      <c r="BI5" s="14">
        <v>263</v>
      </c>
      <c r="BJ5" s="15">
        <f t="shared" si="9"/>
        <v>64.378378378378386</v>
      </c>
      <c r="BL5" s="7" t="s">
        <v>1</v>
      </c>
      <c r="BM5" s="8">
        <v>937</v>
      </c>
      <c r="BN5" s="7" t="s">
        <v>34</v>
      </c>
      <c r="BO5" s="9">
        <v>254</v>
      </c>
      <c r="BP5">
        <f t="shared" si="10"/>
        <v>55.378378378378386</v>
      </c>
      <c r="BR5" s="11" t="s">
        <v>1</v>
      </c>
      <c r="BS5" s="12">
        <v>937</v>
      </c>
      <c r="BT5" s="11" t="s">
        <v>34</v>
      </c>
      <c r="BU5" s="14">
        <v>254</v>
      </c>
      <c r="BV5" s="15">
        <f t="shared" si="11"/>
        <v>55.378378378378386</v>
      </c>
      <c r="BX5" s="10"/>
      <c r="BY5" s="10"/>
      <c r="BZ5" s="7" t="s">
        <v>35</v>
      </c>
      <c r="CA5" s="9">
        <v>195</v>
      </c>
      <c r="CB5">
        <f t="shared" ref="CB5:CB46" si="13">ABS(CA5 - $O$1)</f>
        <v>3.6216216216216139</v>
      </c>
      <c r="CD5" s="10"/>
      <c r="CE5" s="10"/>
      <c r="CF5" s="7" t="s">
        <v>36</v>
      </c>
      <c r="CG5" s="9">
        <v>192</v>
      </c>
      <c r="CH5">
        <f t="shared" si="5"/>
        <v>6.6216216216216139</v>
      </c>
      <c r="CJ5" s="10"/>
      <c r="CK5" s="10"/>
      <c r="CL5" s="7" t="s">
        <v>36</v>
      </c>
      <c r="CM5" s="9">
        <v>192</v>
      </c>
      <c r="CN5">
        <f t="shared" si="6"/>
        <v>6.6216216216216139</v>
      </c>
      <c r="CS5" s="10"/>
      <c r="CT5" s="10"/>
      <c r="CU5" s="7" t="s">
        <v>28</v>
      </c>
      <c r="CV5" s="9">
        <v>209</v>
      </c>
    </row>
    <row r="6" spans="1:100">
      <c r="A6" t="s">
        <v>1</v>
      </c>
      <c r="F6" t="s">
        <v>111</v>
      </c>
      <c r="G6" s="2"/>
      <c r="I6" s="7" t="s">
        <v>2</v>
      </c>
      <c r="J6" s="8">
        <v>792</v>
      </c>
      <c r="K6" t="s">
        <v>102</v>
      </c>
      <c r="L6">
        <v>236</v>
      </c>
      <c r="M6">
        <f t="shared" si="0"/>
        <v>37.378378378378386</v>
      </c>
      <c r="P6">
        <f t="shared" si="7"/>
        <v>1</v>
      </c>
      <c r="R6" s="7" t="s">
        <v>95</v>
      </c>
      <c r="S6" s="8">
        <v>880</v>
      </c>
      <c r="T6" s="7" t="s">
        <v>31</v>
      </c>
      <c r="U6" s="9">
        <v>222</v>
      </c>
      <c r="W6" s="7" t="s">
        <v>95</v>
      </c>
      <c r="X6" s="8">
        <v>880</v>
      </c>
      <c r="Y6" s="7" t="s">
        <v>31</v>
      </c>
      <c r="Z6" s="9">
        <v>222</v>
      </c>
      <c r="AA6">
        <f t="shared" si="8"/>
        <v>23.378378378378386</v>
      </c>
      <c r="AC6" s="7" t="s">
        <v>95</v>
      </c>
      <c r="AD6" s="8">
        <v>880</v>
      </c>
      <c r="AE6" s="7" t="s">
        <v>31</v>
      </c>
      <c r="AF6" s="9">
        <v>222</v>
      </c>
      <c r="AG6">
        <f t="shared" si="1"/>
        <v>23.378378378378386</v>
      </c>
      <c r="AI6" s="7" t="s">
        <v>95</v>
      </c>
      <c r="AJ6" s="8">
        <v>880</v>
      </c>
      <c r="AK6" s="7" t="s">
        <v>31</v>
      </c>
      <c r="AL6" s="9">
        <v>222</v>
      </c>
      <c r="AM6">
        <f t="shared" si="2"/>
        <v>23.378378378378386</v>
      </c>
      <c r="AO6" s="10"/>
      <c r="AP6" s="10"/>
      <c r="AQ6" s="7" t="s">
        <v>33</v>
      </c>
      <c r="AR6" s="9">
        <v>263</v>
      </c>
      <c r="AS6">
        <f t="shared" si="3"/>
        <v>64.378378378378386</v>
      </c>
      <c r="AU6" s="10"/>
      <c r="AV6" s="10"/>
      <c r="AW6" s="7" t="s">
        <v>33</v>
      </c>
      <c r="AX6" s="9">
        <v>263</v>
      </c>
      <c r="AY6">
        <f t="shared" si="4"/>
        <v>64.378378378378386</v>
      </c>
      <c r="BA6" s="10"/>
      <c r="BB6" s="10"/>
      <c r="BC6" s="7" t="s">
        <v>33</v>
      </c>
      <c r="BD6" s="9">
        <v>263</v>
      </c>
      <c r="BF6" s="7" t="s">
        <v>1</v>
      </c>
      <c r="BG6" s="8">
        <v>937</v>
      </c>
      <c r="BH6" s="7" t="s">
        <v>34</v>
      </c>
      <c r="BI6" s="9">
        <v>254</v>
      </c>
      <c r="BJ6">
        <f t="shared" si="9"/>
        <v>55.378378378378386</v>
      </c>
      <c r="BL6" s="10"/>
      <c r="BM6" s="10"/>
      <c r="BN6" s="7" t="s">
        <v>35</v>
      </c>
      <c r="BO6" s="9">
        <v>195</v>
      </c>
      <c r="BP6">
        <f t="shared" si="10"/>
        <v>3.6216216216216139</v>
      </c>
      <c r="BR6" s="10"/>
      <c r="BS6" s="10"/>
      <c r="BT6" s="7" t="s">
        <v>35</v>
      </c>
      <c r="BU6" s="9">
        <v>195</v>
      </c>
      <c r="BV6">
        <f t="shared" si="11"/>
        <v>3.6216216216216139</v>
      </c>
      <c r="BX6" s="10"/>
      <c r="BY6" s="10"/>
      <c r="BZ6" s="7" t="s">
        <v>36</v>
      </c>
      <c r="CA6" s="9">
        <v>192</v>
      </c>
      <c r="CB6">
        <f t="shared" si="13"/>
        <v>6.6216216216216139</v>
      </c>
      <c r="CD6" s="7" t="s">
        <v>2</v>
      </c>
      <c r="CE6" s="8">
        <v>792</v>
      </c>
      <c r="CF6" t="s">
        <v>102</v>
      </c>
      <c r="CG6">
        <v>236</v>
      </c>
      <c r="CH6">
        <f t="shared" si="5"/>
        <v>37.378378378378386</v>
      </c>
      <c r="CJ6" s="7" t="s">
        <v>2</v>
      </c>
      <c r="CK6" s="8">
        <v>792</v>
      </c>
      <c r="CL6" t="s">
        <v>102</v>
      </c>
      <c r="CM6">
        <v>236</v>
      </c>
      <c r="CN6">
        <f t="shared" si="6"/>
        <v>37.378378378378386</v>
      </c>
      <c r="CS6" s="7" t="s">
        <v>95</v>
      </c>
      <c r="CT6" s="8">
        <v>880</v>
      </c>
      <c r="CU6" s="7" t="s">
        <v>31</v>
      </c>
      <c r="CV6" s="9">
        <v>222</v>
      </c>
    </row>
    <row r="7" spans="1:100">
      <c r="F7" t="s">
        <v>28</v>
      </c>
      <c r="I7" s="7" t="s">
        <v>3</v>
      </c>
      <c r="J7" s="8">
        <v>1241</v>
      </c>
      <c r="K7" s="7" t="s">
        <v>38</v>
      </c>
      <c r="L7" s="9">
        <v>198</v>
      </c>
      <c r="M7">
        <f t="shared" si="0"/>
        <v>0.62162162162161394</v>
      </c>
      <c r="P7">
        <f t="shared" si="7"/>
        <v>0</v>
      </c>
      <c r="R7" s="13"/>
      <c r="S7" s="13"/>
      <c r="T7" s="11" t="s">
        <v>32</v>
      </c>
      <c r="U7" s="14">
        <v>395</v>
      </c>
      <c r="W7" s="10"/>
      <c r="X7" s="10"/>
      <c r="Y7" s="7" t="s">
        <v>33</v>
      </c>
      <c r="Z7" s="9">
        <v>263</v>
      </c>
      <c r="AA7">
        <f t="shared" si="8"/>
        <v>64.378378378378386</v>
      </c>
      <c r="AC7" s="10"/>
      <c r="AD7" s="10"/>
      <c r="AE7" s="7" t="s">
        <v>33</v>
      </c>
      <c r="AF7" s="9">
        <v>263</v>
      </c>
      <c r="AG7">
        <f t="shared" si="1"/>
        <v>64.378378378378386</v>
      </c>
      <c r="AI7" s="10"/>
      <c r="AJ7" s="10"/>
      <c r="AK7" s="7" t="s">
        <v>33</v>
      </c>
      <c r="AL7" s="9">
        <v>263</v>
      </c>
      <c r="AM7">
        <f t="shared" si="2"/>
        <v>64.378378378378386</v>
      </c>
      <c r="AO7" s="7" t="s">
        <v>1</v>
      </c>
      <c r="AP7" s="8">
        <v>937</v>
      </c>
      <c r="AQ7" s="7" t="s">
        <v>34</v>
      </c>
      <c r="AR7" s="9">
        <v>254</v>
      </c>
      <c r="AS7">
        <f t="shared" si="3"/>
        <v>55.378378378378386</v>
      </c>
      <c r="AU7" s="7" t="s">
        <v>1</v>
      </c>
      <c r="AV7" s="8">
        <v>937</v>
      </c>
      <c r="AW7" s="7" t="s">
        <v>34</v>
      </c>
      <c r="AX7" s="9">
        <v>254</v>
      </c>
      <c r="AY7">
        <f t="shared" si="4"/>
        <v>55.378378378378386</v>
      </c>
      <c r="BA7" s="7" t="s">
        <v>1</v>
      </c>
      <c r="BB7" s="8">
        <v>937</v>
      </c>
      <c r="BC7" s="7" t="s">
        <v>34</v>
      </c>
      <c r="BD7" s="9">
        <v>254</v>
      </c>
      <c r="BF7" s="10"/>
      <c r="BG7" s="10"/>
      <c r="BH7" s="7" t="s">
        <v>35</v>
      </c>
      <c r="BI7" s="9">
        <v>195</v>
      </c>
      <c r="BJ7">
        <f t="shared" si="9"/>
        <v>3.6216216216216139</v>
      </c>
      <c r="BL7" s="10"/>
      <c r="BM7" s="10"/>
      <c r="BN7" s="7" t="s">
        <v>36</v>
      </c>
      <c r="BO7" s="9">
        <v>192</v>
      </c>
      <c r="BP7">
        <f t="shared" si="10"/>
        <v>6.6216216216216139</v>
      </c>
      <c r="BR7" s="10"/>
      <c r="BS7" s="10"/>
      <c r="BT7" s="7" t="s">
        <v>36</v>
      </c>
      <c r="BU7" s="9">
        <v>192</v>
      </c>
      <c r="BV7">
        <f t="shared" si="11"/>
        <v>6.6216216216216139</v>
      </c>
      <c r="BX7" s="7" t="s">
        <v>2</v>
      </c>
      <c r="BY7" s="8">
        <v>792</v>
      </c>
      <c r="BZ7" t="s">
        <v>102</v>
      </c>
      <c r="CA7">
        <v>236</v>
      </c>
      <c r="CB7">
        <f t="shared" si="13"/>
        <v>37.378378378378386</v>
      </c>
      <c r="CD7" s="7" t="s">
        <v>3</v>
      </c>
      <c r="CE7" s="8">
        <v>1241</v>
      </c>
      <c r="CF7" s="7" t="s">
        <v>38</v>
      </c>
      <c r="CG7" s="9">
        <v>198</v>
      </c>
      <c r="CH7">
        <f t="shared" si="5"/>
        <v>0.62162162162161394</v>
      </c>
      <c r="CJ7" s="7" t="s">
        <v>3</v>
      </c>
      <c r="CK7" s="8">
        <v>1241</v>
      </c>
      <c r="CL7" s="7" t="s">
        <v>38</v>
      </c>
      <c r="CM7" s="9">
        <v>198</v>
      </c>
      <c r="CN7">
        <f t="shared" si="6"/>
        <v>0.62162162162161394</v>
      </c>
      <c r="CS7" s="10"/>
      <c r="CT7" s="10"/>
      <c r="CU7" s="7" t="s">
        <v>33</v>
      </c>
      <c r="CV7" s="9">
        <v>263</v>
      </c>
    </row>
    <row r="8" spans="1:100">
      <c r="A8" t="s">
        <v>2</v>
      </c>
      <c r="D8" t="s">
        <v>20</v>
      </c>
      <c r="E8">
        <v>880</v>
      </c>
      <c r="F8" t="s">
        <v>112</v>
      </c>
      <c r="G8" s="2"/>
      <c r="I8" s="10"/>
      <c r="J8" s="10"/>
      <c r="K8" s="7" t="s">
        <v>39</v>
      </c>
      <c r="L8" s="9">
        <v>215</v>
      </c>
      <c r="M8">
        <f t="shared" si="0"/>
        <v>16.378378378378386</v>
      </c>
      <c r="P8">
        <f t="shared" si="7"/>
        <v>0</v>
      </c>
      <c r="R8" s="10"/>
      <c r="S8" s="10"/>
      <c r="T8" s="7" t="s">
        <v>33</v>
      </c>
      <c r="U8" s="9">
        <v>263</v>
      </c>
      <c r="W8" s="7" t="s">
        <v>1</v>
      </c>
      <c r="X8" s="8">
        <v>937</v>
      </c>
      <c r="Y8" s="7" t="s">
        <v>34</v>
      </c>
      <c r="Z8" s="9">
        <v>254</v>
      </c>
      <c r="AA8">
        <f t="shared" si="8"/>
        <v>55.378378378378386</v>
      </c>
      <c r="AC8" s="7" t="s">
        <v>1</v>
      </c>
      <c r="AD8" s="8">
        <v>937</v>
      </c>
      <c r="AE8" s="7" t="s">
        <v>34</v>
      </c>
      <c r="AF8" s="9">
        <v>254</v>
      </c>
      <c r="AG8">
        <f t="shared" si="1"/>
        <v>55.378378378378386</v>
      </c>
      <c r="AI8" s="7" t="s">
        <v>1</v>
      </c>
      <c r="AJ8" s="8">
        <v>937</v>
      </c>
      <c r="AK8" s="7" t="s">
        <v>34</v>
      </c>
      <c r="AL8" s="9">
        <v>254</v>
      </c>
      <c r="AM8">
        <f t="shared" si="2"/>
        <v>55.378378378378386</v>
      </c>
      <c r="AO8" s="10"/>
      <c r="AP8" s="10"/>
      <c r="AQ8" s="7" t="s">
        <v>35</v>
      </c>
      <c r="AR8" s="9">
        <v>195</v>
      </c>
      <c r="AS8">
        <f t="shared" si="3"/>
        <v>3.6216216216216139</v>
      </c>
      <c r="AU8" s="10"/>
      <c r="AV8" s="10"/>
      <c r="AW8" s="7" t="s">
        <v>35</v>
      </c>
      <c r="AX8" s="9">
        <v>195</v>
      </c>
      <c r="AY8">
        <f t="shared" si="4"/>
        <v>3.6216216216216139</v>
      </c>
      <c r="BA8" s="10"/>
      <c r="BB8" s="10"/>
      <c r="BC8" s="7" t="s">
        <v>35</v>
      </c>
      <c r="BD8" s="9">
        <v>195</v>
      </c>
      <c r="BF8" s="10"/>
      <c r="BG8" s="10"/>
      <c r="BH8" s="7" t="s">
        <v>36</v>
      </c>
      <c r="BI8" s="9">
        <v>192</v>
      </c>
      <c r="BJ8">
        <f t="shared" si="9"/>
        <v>6.6216216216216139</v>
      </c>
      <c r="BL8" s="7" t="s">
        <v>2</v>
      </c>
      <c r="BM8" s="8">
        <v>792</v>
      </c>
      <c r="BN8" t="s">
        <v>102</v>
      </c>
      <c r="BO8">
        <v>236</v>
      </c>
      <c r="BP8">
        <f t="shared" si="10"/>
        <v>37.378378378378386</v>
      </c>
      <c r="BR8" s="7" t="s">
        <v>2</v>
      </c>
      <c r="BS8" s="8">
        <v>792</v>
      </c>
      <c r="BT8" t="s">
        <v>102</v>
      </c>
      <c r="BU8">
        <v>236</v>
      </c>
      <c r="BV8">
        <f t="shared" si="11"/>
        <v>37.378378378378386</v>
      </c>
      <c r="BX8" s="7" t="s">
        <v>3</v>
      </c>
      <c r="BY8" s="8">
        <v>1241</v>
      </c>
      <c r="BZ8" s="7" t="s">
        <v>38</v>
      </c>
      <c r="CA8" s="9">
        <v>198</v>
      </c>
      <c r="CB8">
        <f t="shared" si="13"/>
        <v>0.62162162162161394</v>
      </c>
      <c r="CD8" s="10"/>
      <c r="CE8" s="10"/>
      <c r="CF8" s="7" t="s">
        <v>39</v>
      </c>
      <c r="CG8" s="9">
        <v>215</v>
      </c>
      <c r="CH8">
        <f t="shared" si="5"/>
        <v>16.378378378378386</v>
      </c>
      <c r="CJ8" s="10"/>
      <c r="CK8" s="10"/>
      <c r="CL8" s="7" t="s">
        <v>39</v>
      </c>
      <c r="CM8" s="9">
        <v>215</v>
      </c>
      <c r="CN8">
        <f t="shared" si="6"/>
        <v>16.378378378378386</v>
      </c>
      <c r="CS8" s="7" t="s">
        <v>1</v>
      </c>
      <c r="CT8" s="8">
        <v>937</v>
      </c>
      <c r="CU8" s="7" t="s">
        <v>34</v>
      </c>
      <c r="CV8" s="9">
        <v>254</v>
      </c>
    </row>
    <row r="9" spans="1:100">
      <c r="A9" t="s">
        <v>3</v>
      </c>
      <c r="F9" t="s">
        <v>113</v>
      </c>
      <c r="I9" s="10"/>
      <c r="J9" s="10"/>
      <c r="K9" s="7" t="s">
        <v>41</v>
      </c>
      <c r="L9" s="9">
        <v>174</v>
      </c>
      <c r="M9">
        <f t="shared" si="0"/>
        <v>24.621621621621614</v>
      </c>
      <c r="P9">
        <f t="shared" si="7"/>
        <v>0</v>
      </c>
      <c r="R9" s="7" t="s">
        <v>1</v>
      </c>
      <c r="S9" s="8">
        <v>937</v>
      </c>
      <c r="T9" s="7" t="s">
        <v>34</v>
      </c>
      <c r="U9" s="9">
        <v>254</v>
      </c>
      <c r="W9" s="10"/>
      <c r="X9" s="10"/>
      <c r="Y9" s="7" t="s">
        <v>35</v>
      </c>
      <c r="Z9" s="9">
        <v>195</v>
      </c>
      <c r="AA9">
        <f t="shared" si="8"/>
        <v>3.6216216216216139</v>
      </c>
      <c r="AC9" s="10"/>
      <c r="AD9" s="10"/>
      <c r="AE9" s="7" t="s">
        <v>35</v>
      </c>
      <c r="AF9" s="9">
        <v>195</v>
      </c>
      <c r="AG9">
        <f t="shared" si="1"/>
        <v>3.6216216216216139</v>
      </c>
      <c r="AI9" s="10"/>
      <c r="AJ9" s="10"/>
      <c r="AK9" s="7" t="s">
        <v>35</v>
      </c>
      <c r="AL9" s="9">
        <v>195</v>
      </c>
      <c r="AM9">
        <f t="shared" si="2"/>
        <v>3.6216216216216139</v>
      </c>
      <c r="AO9" s="10"/>
      <c r="AP9" s="10"/>
      <c r="AQ9" s="7" t="s">
        <v>36</v>
      </c>
      <c r="AR9" s="9">
        <v>192</v>
      </c>
      <c r="AS9">
        <f t="shared" si="3"/>
        <v>6.6216216216216139</v>
      </c>
      <c r="AU9" s="10"/>
      <c r="AV9" s="10"/>
      <c r="AW9" s="7" t="s">
        <v>36</v>
      </c>
      <c r="AX9" s="9">
        <v>192</v>
      </c>
      <c r="AY9">
        <f t="shared" si="4"/>
        <v>6.6216216216216139</v>
      </c>
      <c r="BA9" s="10"/>
      <c r="BB9" s="10"/>
      <c r="BC9" s="7" t="s">
        <v>36</v>
      </c>
      <c r="BD9" s="9">
        <v>192</v>
      </c>
      <c r="BF9" s="7" t="s">
        <v>2</v>
      </c>
      <c r="BG9" s="8">
        <v>792</v>
      </c>
      <c r="BH9" t="s">
        <v>102</v>
      </c>
      <c r="BI9">
        <v>236</v>
      </c>
      <c r="BJ9">
        <f t="shared" si="9"/>
        <v>37.378378378378386</v>
      </c>
      <c r="BL9" s="13"/>
      <c r="BM9" s="13"/>
      <c r="BN9" s="15" t="s">
        <v>104</v>
      </c>
      <c r="BO9" s="15">
        <v>261</v>
      </c>
      <c r="BP9" s="15">
        <f t="shared" si="10"/>
        <v>62.378378378378386</v>
      </c>
      <c r="BR9" s="7" t="s">
        <v>3</v>
      </c>
      <c r="BS9" s="8">
        <v>1241</v>
      </c>
      <c r="BT9" s="7" t="s">
        <v>38</v>
      </c>
      <c r="BU9" s="9">
        <v>198</v>
      </c>
      <c r="BV9">
        <f t="shared" ref="BV9:BV48" si="14">ABS(BU9 - $O$1)</f>
        <v>0.62162162162161394</v>
      </c>
      <c r="BX9" s="10"/>
      <c r="BY9" s="10"/>
      <c r="BZ9" s="7" t="s">
        <v>39</v>
      </c>
      <c r="CA9" s="9">
        <v>215</v>
      </c>
      <c r="CB9">
        <f t="shared" si="13"/>
        <v>16.378378378378386</v>
      </c>
      <c r="CD9" s="10"/>
      <c r="CE9" s="10"/>
      <c r="CF9" s="7" t="s">
        <v>41</v>
      </c>
      <c r="CG9" s="9">
        <v>174</v>
      </c>
      <c r="CH9">
        <f t="shared" si="5"/>
        <v>24.621621621621614</v>
      </c>
      <c r="CJ9" s="10"/>
      <c r="CK9" s="10"/>
      <c r="CL9" s="7" t="s">
        <v>41</v>
      </c>
      <c r="CM9" s="9">
        <v>174</v>
      </c>
      <c r="CN9">
        <f t="shared" si="6"/>
        <v>24.621621621621614</v>
      </c>
      <c r="CS9" s="10"/>
      <c r="CT9" s="10"/>
      <c r="CU9" s="7" t="s">
        <v>35</v>
      </c>
      <c r="CV9" s="9">
        <v>195</v>
      </c>
    </row>
    <row r="10" spans="1:100">
      <c r="A10" t="s">
        <v>4</v>
      </c>
      <c r="F10" t="s">
        <v>114</v>
      </c>
      <c r="I10" s="10"/>
      <c r="J10" s="10"/>
      <c r="K10" s="7" t="s">
        <v>43</v>
      </c>
      <c r="L10" s="9">
        <v>195</v>
      </c>
      <c r="M10">
        <f t="shared" si="0"/>
        <v>3.6216216216216139</v>
      </c>
      <c r="P10">
        <f t="shared" si="7"/>
        <v>0</v>
      </c>
      <c r="R10" s="10"/>
      <c r="S10" s="10"/>
      <c r="T10" s="7" t="s">
        <v>35</v>
      </c>
      <c r="U10" s="9">
        <v>195</v>
      </c>
      <c r="W10" s="10"/>
      <c r="X10" s="10"/>
      <c r="Y10" s="7" t="s">
        <v>36</v>
      </c>
      <c r="Z10" s="9">
        <v>192</v>
      </c>
      <c r="AA10">
        <f t="shared" si="8"/>
        <v>6.6216216216216139</v>
      </c>
      <c r="AC10" s="10"/>
      <c r="AD10" s="10"/>
      <c r="AE10" s="7" t="s">
        <v>36</v>
      </c>
      <c r="AF10" s="9">
        <v>192</v>
      </c>
      <c r="AG10">
        <f t="shared" si="1"/>
        <v>6.6216216216216139</v>
      </c>
      <c r="AI10" s="10"/>
      <c r="AJ10" s="10"/>
      <c r="AK10" s="7" t="s">
        <v>36</v>
      </c>
      <c r="AL10" s="9">
        <v>192</v>
      </c>
      <c r="AM10">
        <f t="shared" si="2"/>
        <v>6.6216216216216139</v>
      </c>
      <c r="AO10" s="13"/>
      <c r="AP10" s="13"/>
      <c r="AQ10" s="11" t="s">
        <v>37</v>
      </c>
      <c r="AR10" s="14">
        <v>296</v>
      </c>
      <c r="AS10" s="15">
        <f t="shared" si="3"/>
        <v>97.378378378378386</v>
      </c>
      <c r="AU10" s="7" t="s">
        <v>2</v>
      </c>
      <c r="AV10" s="8">
        <v>792</v>
      </c>
      <c r="AW10" t="s">
        <v>102</v>
      </c>
      <c r="AX10">
        <v>236</v>
      </c>
      <c r="AY10">
        <f t="shared" si="4"/>
        <v>37.378378378378386</v>
      </c>
      <c r="BA10" s="7" t="s">
        <v>2</v>
      </c>
      <c r="BB10" s="8">
        <v>792</v>
      </c>
      <c r="BC10" t="s">
        <v>102</v>
      </c>
      <c r="BD10">
        <v>236</v>
      </c>
      <c r="BF10" s="10"/>
      <c r="BG10" s="10"/>
      <c r="BH10" t="s">
        <v>104</v>
      </c>
      <c r="BI10">
        <v>261</v>
      </c>
      <c r="BJ10">
        <f t="shared" si="9"/>
        <v>62.378378378378386</v>
      </c>
      <c r="BL10" s="7" t="s">
        <v>3</v>
      </c>
      <c r="BM10" s="8">
        <v>1241</v>
      </c>
      <c r="BN10" s="7" t="s">
        <v>38</v>
      </c>
      <c r="BO10" s="9">
        <v>198</v>
      </c>
      <c r="BP10">
        <f t="shared" si="10"/>
        <v>0.62162162162161394</v>
      </c>
      <c r="BR10" s="10"/>
      <c r="BS10" s="10"/>
      <c r="BT10" s="7" t="s">
        <v>39</v>
      </c>
      <c r="BU10" s="9">
        <v>215</v>
      </c>
      <c r="BV10">
        <f t="shared" si="14"/>
        <v>16.378378378378386</v>
      </c>
      <c r="BX10" s="10"/>
      <c r="BY10" s="10"/>
      <c r="BZ10" s="7" t="s">
        <v>41</v>
      </c>
      <c r="CA10" s="9">
        <v>174</v>
      </c>
      <c r="CB10">
        <f t="shared" si="13"/>
        <v>24.621621621621614</v>
      </c>
      <c r="CD10" s="10"/>
      <c r="CE10" s="10"/>
      <c r="CF10" s="7" t="s">
        <v>43</v>
      </c>
      <c r="CG10" s="9">
        <v>195</v>
      </c>
      <c r="CH10">
        <f t="shared" si="5"/>
        <v>3.6216216216216139</v>
      </c>
      <c r="CJ10" s="10"/>
      <c r="CK10" s="10"/>
      <c r="CL10" s="7" t="s">
        <v>43</v>
      </c>
      <c r="CM10" s="9">
        <v>195</v>
      </c>
      <c r="CN10">
        <f t="shared" si="6"/>
        <v>3.6216216216216139</v>
      </c>
      <c r="CS10" s="10"/>
      <c r="CT10" s="10"/>
      <c r="CU10" s="7" t="s">
        <v>36</v>
      </c>
      <c r="CV10" s="9">
        <v>192</v>
      </c>
    </row>
    <row r="11" spans="1:100">
      <c r="A11" t="s">
        <v>5</v>
      </c>
      <c r="F11" t="s">
        <v>115</v>
      </c>
      <c r="G11" s="2"/>
      <c r="I11" s="7" t="s">
        <v>5</v>
      </c>
      <c r="J11" s="8">
        <v>214</v>
      </c>
      <c r="K11" s="7" t="s">
        <v>5</v>
      </c>
      <c r="L11" s="9">
        <v>214</v>
      </c>
      <c r="M11">
        <f t="shared" si="0"/>
        <v>15.378378378378386</v>
      </c>
      <c r="P11">
        <f t="shared" si="7"/>
        <v>0</v>
      </c>
      <c r="R11" s="10"/>
      <c r="S11" s="10"/>
      <c r="T11" s="7" t="s">
        <v>36</v>
      </c>
      <c r="U11" s="9">
        <v>192</v>
      </c>
      <c r="W11" s="10"/>
      <c r="X11" s="10"/>
      <c r="Y11" s="7" t="s">
        <v>37</v>
      </c>
      <c r="Z11" s="9">
        <v>296</v>
      </c>
      <c r="AA11">
        <f t="shared" si="8"/>
        <v>97.378378378378386</v>
      </c>
      <c r="AC11" s="10"/>
      <c r="AD11" s="10"/>
      <c r="AE11" s="7" t="s">
        <v>37</v>
      </c>
      <c r="AF11" s="9">
        <v>296</v>
      </c>
      <c r="AG11">
        <f t="shared" si="1"/>
        <v>97.378378378378386</v>
      </c>
      <c r="AI11" s="10"/>
      <c r="AJ11" s="10"/>
      <c r="AK11" s="7" t="s">
        <v>37</v>
      </c>
      <c r="AL11" s="9">
        <v>296</v>
      </c>
      <c r="AM11">
        <f t="shared" si="2"/>
        <v>97.378378378378386</v>
      </c>
      <c r="AO11" s="7" t="s">
        <v>2</v>
      </c>
      <c r="AP11" s="8">
        <v>792</v>
      </c>
      <c r="AQ11" t="s">
        <v>102</v>
      </c>
      <c r="AR11">
        <v>236</v>
      </c>
      <c r="AS11">
        <f t="shared" si="3"/>
        <v>37.378378378378386</v>
      </c>
      <c r="AU11" s="10"/>
      <c r="AV11" s="10"/>
      <c r="AW11" t="s">
        <v>104</v>
      </c>
      <c r="AX11">
        <v>261</v>
      </c>
      <c r="AY11">
        <f t="shared" si="4"/>
        <v>62.378378378378386</v>
      </c>
      <c r="BA11" s="10"/>
      <c r="BB11" s="10"/>
      <c r="BC11" t="s">
        <v>104</v>
      </c>
      <c r="BD11">
        <v>261</v>
      </c>
      <c r="BF11" s="7" t="s">
        <v>3</v>
      </c>
      <c r="BG11" s="8">
        <v>1241</v>
      </c>
      <c r="BH11" s="7" t="s">
        <v>38</v>
      </c>
      <c r="BI11" s="9">
        <v>198</v>
      </c>
      <c r="BJ11">
        <f t="shared" si="9"/>
        <v>0.62162162162161394</v>
      </c>
      <c r="BL11" s="10"/>
      <c r="BM11" s="10"/>
      <c r="BN11" s="7" t="s">
        <v>39</v>
      </c>
      <c r="BO11" s="9">
        <v>215</v>
      </c>
      <c r="BP11">
        <f t="shared" si="10"/>
        <v>16.378378378378386</v>
      </c>
      <c r="BR11" s="10"/>
      <c r="BS11" s="10"/>
      <c r="BT11" s="7" t="s">
        <v>41</v>
      </c>
      <c r="BU11" s="9">
        <v>174</v>
      </c>
      <c r="BV11">
        <f t="shared" si="14"/>
        <v>24.621621621621614</v>
      </c>
      <c r="BX11" s="10"/>
      <c r="BY11" s="10"/>
      <c r="BZ11" s="7" t="s">
        <v>43</v>
      </c>
      <c r="CA11" s="9">
        <v>195</v>
      </c>
      <c r="CB11">
        <f t="shared" si="13"/>
        <v>3.6216216216216139</v>
      </c>
      <c r="CD11" s="7" t="s">
        <v>5</v>
      </c>
      <c r="CE11" s="8">
        <v>214</v>
      </c>
      <c r="CF11" s="7" t="s">
        <v>5</v>
      </c>
      <c r="CG11" s="9">
        <v>214</v>
      </c>
      <c r="CH11">
        <f t="shared" si="5"/>
        <v>15.378378378378386</v>
      </c>
      <c r="CJ11" s="7" t="s">
        <v>5</v>
      </c>
      <c r="CK11" s="8">
        <v>214</v>
      </c>
      <c r="CL11" s="7" t="s">
        <v>5</v>
      </c>
      <c r="CM11" s="9">
        <v>214</v>
      </c>
      <c r="CN11">
        <f t="shared" si="6"/>
        <v>15.378378378378386</v>
      </c>
      <c r="CS11" s="10"/>
      <c r="CT11" s="10"/>
      <c r="CU11" s="7" t="s">
        <v>37</v>
      </c>
      <c r="CV11" s="9">
        <v>296</v>
      </c>
    </row>
    <row r="12" spans="1:100">
      <c r="A12" t="s">
        <v>6</v>
      </c>
      <c r="F12" t="s">
        <v>116</v>
      </c>
      <c r="G12" s="2"/>
      <c r="I12" s="10"/>
      <c r="J12" s="10"/>
      <c r="K12" s="7" t="s">
        <v>96</v>
      </c>
      <c r="L12" s="9">
        <v>169</v>
      </c>
      <c r="M12">
        <f t="shared" si="0"/>
        <v>29.621621621621614</v>
      </c>
      <c r="P12">
        <f t="shared" si="7"/>
        <v>0</v>
      </c>
      <c r="R12" s="10"/>
      <c r="S12" s="10"/>
      <c r="T12" s="7" t="s">
        <v>37</v>
      </c>
      <c r="U12" s="9">
        <v>296</v>
      </c>
      <c r="W12" s="7" t="s">
        <v>2</v>
      </c>
      <c r="X12" s="8">
        <v>792</v>
      </c>
      <c r="Y12" t="s">
        <v>102</v>
      </c>
      <c r="Z12">
        <v>236</v>
      </c>
      <c r="AA12">
        <f t="shared" si="8"/>
        <v>37.378378378378386</v>
      </c>
      <c r="AC12" s="7" t="s">
        <v>2</v>
      </c>
      <c r="AD12" s="8">
        <v>792</v>
      </c>
      <c r="AE12" t="s">
        <v>102</v>
      </c>
      <c r="AF12">
        <v>236</v>
      </c>
      <c r="AG12">
        <f t="shared" si="1"/>
        <v>37.378378378378386</v>
      </c>
      <c r="AI12" s="7" t="s">
        <v>2</v>
      </c>
      <c r="AJ12" s="8">
        <v>792</v>
      </c>
      <c r="AK12" t="s">
        <v>102</v>
      </c>
      <c r="AL12">
        <v>236</v>
      </c>
      <c r="AM12">
        <f t="shared" si="2"/>
        <v>37.378378378378386</v>
      </c>
      <c r="AO12" s="13"/>
      <c r="AP12" s="13"/>
      <c r="AQ12" s="15" t="s">
        <v>103</v>
      </c>
      <c r="AR12" s="15">
        <v>295</v>
      </c>
      <c r="AS12" s="15">
        <f t="shared" si="3"/>
        <v>96.378378378378386</v>
      </c>
      <c r="AU12" s="7" t="s">
        <v>3</v>
      </c>
      <c r="AV12" s="8">
        <v>1241</v>
      </c>
      <c r="AW12" s="7" t="s">
        <v>38</v>
      </c>
      <c r="AX12" s="9">
        <v>198</v>
      </c>
      <c r="AY12">
        <f t="shared" si="4"/>
        <v>0.62162162162161394</v>
      </c>
      <c r="BA12" s="7" t="s">
        <v>3</v>
      </c>
      <c r="BB12" s="8">
        <v>1241</v>
      </c>
      <c r="BC12" s="7" t="s">
        <v>38</v>
      </c>
      <c r="BD12" s="9">
        <v>198</v>
      </c>
      <c r="BF12" s="10"/>
      <c r="BG12" s="10"/>
      <c r="BH12" s="7" t="s">
        <v>39</v>
      </c>
      <c r="BI12" s="9">
        <v>215</v>
      </c>
      <c r="BJ12">
        <f t="shared" si="9"/>
        <v>16.378378378378386</v>
      </c>
      <c r="BL12" s="10"/>
      <c r="BM12" s="10"/>
      <c r="BN12" s="7" t="s">
        <v>41</v>
      </c>
      <c r="BO12" s="9">
        <v>174</v>
      </c>
      <c r="BP12">
        <f t="shared" si="10"/>
        <v>24.621621621621614</v>
      </c>
      <c r="BR12" s="13"/>
      <c r="BS12" s="13"/>
      <c r="BT12" s="11" t="s">
        <v>42</v>
      </c>
      <c r="BU12" s="14">
        <v>143</v>
      </c>
      <c r="BV12" s="15">
        <f t="shared" si="14"/>
        <v>55.621621621621614</v>
      </c>
      <c r="BX12" s="7" t="s">
        <v>5</v>
      </c>
      <c r="BY12" s="8">
        <v>214</v>
      </c>
      <c r="BZ12" s="7" t="s">
        <v>5</v>
      </c>
      <c r="CA12" s="9">
        <v>214</v>
      </c>
      <c r="CB12">
        <f t="shared" si="13"/>
        <v>15.378378378378386</v>
      </c>
      <c r="CD12" s="11" t="s">
        <v>89</v>
      </c>
      <c r="CE12" s="12">
        <v>1319</v>
      </c>
      <c r="CF12" s="11" t="s">
        <v>44</v>
      </c>
      <c r="CG12" s="14">
        <v>242</v>
      </c>
      <c r="CH12" s="15">
        <f t="shared" si="5"/>
        <v>43.378378378378386</v>
      </c>
      <c r="CJ12" s="10"/>
      <c r="CK12" s="10"/>
      <c r="CL12" s="7" t="s">
        <v>96</v>
      </c>
      <c r="CM12" s="9">
        <v>169</v>
      </c>
      <c r="CN12">
        <f t="shared" si="6"/>
        <v>29.621621621621614</v>
      </c>
      <c r="CS12" s="7" t="s">
        <v>2</v>
      </c>
      <c r="CT12" s="8">
        <v>792</v>
      </c>
      <c r="CU12" t="s">
        <v>102</v>
      </c>
      <c r="CV12">
        <v>236</v>
      </c>
    </row>
    <row r="13" spans="1:100">
      <c r="A13" t="s">
        <v>19</v>
      </c>
      <c r="D13" t="s">
        <v>1</v>
      </c>
      <c r="E13">
        <v>937</v>
      </c>
      <c r="F13" t="s">
        <v>117</v>
      </c>
      <c r="G13" s="2"/>
      <c r="I13" s="10"/>
      <c r="J13" s="10"/>
      <c r="K13" s="7" t="s">
        <v>46</v>
      </c>
      <c r="L13" s="9">
        <v>181</v>
      </c>
      <c r="M13">
        <f t="shared" si="0"/>
        <v>17.621621621621614</v>
      </c>
      <c r="P13">
        <f t="shared" si="7"/>
        <v>0</v>
      </c>
      <c r="R13" s="7" t="s">
        <v>2</v>
      </c>
      <c r="S13" s="8">
        <v>792</v>
      </c>
      <c r="T13" t="s">
        <v>102</v>
      </c>
      <c r="U13">
        <v>236</v>
      </c>
      <c r="W13" s="10"/>
      <c r="X13" s="10"/>
      <c r="Y13" t="s">
        <v>103</v>
      </c>
      <c r="Z13">
        <v>295</v>
      </c>
      <c r="AA13">
        <f t="shared" si="8"/>
        <v>96.378378378378386</v>
      </c>
      <c r="AC13" s="10"/>
      <c r="AD13" s="10"/>
      <c r="AE13" t="s">
        <v>103</v>
      </c>
      <c r="AF13">
        <v>295</v>
      </c>
      <c r="AG13">
        <f t="shared" si="1"/>
        <v>96.378378378378386</v>
      </c>
      <c r="AI13" s="10"/>
      <c r="AJ13" s="10"/>
      <c r="AK13" t="s">
        <v>103</v>
      </c>
      <c r="AL13">
        <v>295</v>
      </c>
      <c r="AM13">
        <f t="shared" si="2"/>
        <v>96.378378378378386</v>
      </c>
      <c r="AO13" s="10"/>
      <c r="AP13" s="10"/>
      <c r="AQ13" t="s">
        <v>104</v>
      </c>
      <c r="AR13">
        <v>261</v>
      </c>
      <c r="AS13">
        <f t="shared" si="3"/>
        <v>62.378378378378386</v>
      </c>
      <c r="AU13" s="10"/>
      <c r="AV13" s="10"/>
      <c r="AW13" s="7" t="s">
        <v>39</v>
      </c>
      <c r="AX13" s="9">
        <v>215</v>
      </c>
      <c r="AY13">
        <f t="shared" si="4"/>
        <v>16.378378378378386</v>
      </c>
      <c r="BA13" s="10"/>
      <c r="BB13" s="10"/>
      <c r="BC13" s="7" t="s">
        <v>39</v>
      </c>
      <c r="BD13" s="9">
        <v>215</v>
      </c>
      <c r="BF13" s="10"/>
      <c r="BG13" s="10"/>
      <c r="BH13" s="7" t="s">
        <v>41</v>
      </c>
      <c r="BI13" s="9">
        <v>174</v>
      </c>
      <c r="BJ13">
        <f t="shared" si="9"/>
        <v>24.621621621621614</v>
      </c>
      <c r="BL13" s="10"/>
      <c r="BM13" s="10"/>
      <c r="BN13" s="7" t="s">
        <v>42</v>
      </c>
      <c r="BO13" s="9">
        <v>143</v>
      </c>
      <c r="BP13">
        <f t="shared" si="10"/>
        <v>55.621621621621614</v>
      </c>
      <c r="BR13" s="10"/>
      <c r="BS13" s="10"/>
      <c r="BT13" s="7" t="s">
        <v>43</v>
      </c>
      <c r="BU13" s="9">
        <v>195</v>
      </c>
      <c r="BV13">
        <f t="shared" si="14"/>
        <v>3.6216216216216139</v>
      </c>
      <c r="BX13" s="7" t="s">
        <v>89</v>
      </c>
      <c r="BY13" s="8">
        <v>1319</v>
      </c>
      <c r="BZ13" s="7" t="s">
        <v>44</v>
      </c>
      <c r="CA13" s="9">
        <v>242</v>
      </c>
      <c r="CB13">
        <f t="shared" si="13"/>
        <v>43.378378378378386</v>
      </c>
      <c r="CD13" s="10"/>
      <c r="CE13" s="10"/>
      <c r="CF13" s="7" t="s">
        <v>96</v>
      </c>
      <c r="CG13" s="9">
        <v>169</v>
      </c>
      <c r="CH13">
        <f t="shared" si="5"/>
        <v>29.621621621621614</v>
      </c>
      <c r="CJ13" s="10"/>
      <c r="CK13" s="10"/>
      <c r="CL13" s="7" t="s">
        <v>46</v>
      </c>
      <c r="CM13" s="9">
        <v>181</v>
      </c>
      <c r="CN13">
        <f t="shared" si="6"/>
        <v>17.621621621621614</v>
      </c>
      <c r="CS13" s="10"/>
      <c r="CT13" s="10"/>
      <c r="CU13" t="s">
        <v>103</v>
      </c>
      <c r="CV13">
        <v>295</v>
      </c>
    </row>
    <row r="14" spans="1:100">
      <c r="A14" t="s">
        <v>22</v>
      </c>
      <c r="D14" t="s">
        <v>106</v>
      </c>
      <c r="F14" t="s">
        <v>35</v>
      </c>
      <c r="G14" s="2">
        <v>195</v>
      </c>
      <c r="I14" s="10"/>
      <c r="J14" s="10"/>
      <c r="K14" s="7" t="s">
        <v>47</v>
      </c>
      <c r="L14" s="9">
        <v>179</v>
      </c>
      <c r="M14">
        <f t="shared" si="0"/>
        <v>19.621621621621614</v>
      </c>
      <c r="P14">
        <f t="shared" si="7"/>
        <v>0</v>
      </c>
      <c r="R14" s="10"/>
      <c r="S14" s="10"/>
      <c r="T14" t="s">
        <v>103</v>
      </c>
      <c r="U14">
        <v>295</v>
      </c>
      <c r="W14" s="10"/>
      <c r="X14" s="10"/>
      <c r="Y14" t="s">
        <v>104</v>
      </c>
      <c r="Z14">
        <v>261</v>
      </c>
      <c r="AA14">
        <f t="shared" si="8"/>
        <v>62.378378378378386</v>
      </c>
      <c r="AC14" s="10"/>
      <c r="AD14" s="10"/>
      <c r="AE14" t="s">
        <v>104</v>
      </c>
      <c r="AF14">
        <v>261</v>
      </c>
      <c r="AG14">
        <f t="shared" si="1"/>
        <v>62.378378378378386</v>
      </c>
      <c r="AI14" s="10"/>
      <c r="AJ14" s="10"/>
      <c r="AK14" t="s">
        <v>104</v>
      </c>
      <c r="AL14">
        <v>261</v>
      </c>
      <c r="AM14">
        <f t="shared" si="2"/>
        <v>62.378378378378386</v>
      </c>
      <c r="AO14" s="7" t="s">
        <v>3</v>
      </c>
      <c r="AP14" s="8">
        <v>1241</v>
      </c>
      <c r="AQ14" s="7" t="s">
        <v>38</v>
      </c>
      <c r="AR14" s="9">
        <v>198</v>
      </c>
      <c r="AS14">
        <f t="shared" si="3"/>
        <v>0.62162162162161394</v>
      </c>
      <c r="AU14" s="10"/>
      <c r="AV14" s="10"/>
      <c r="AW14" s="7" t="s">
        <v>41</v>
      </c>
      <c r="AX14" s="9">
        <v>174</v>
      </c>
      <c r="AY14">
        <f t="shared" si="4"/>
        <v>24.621621621621614</v>
      </c>
      <c r="BA14" s="10"/>
      <c r="BB14" s="10"/>
      <c r="BC14" s="7" t="s">
        <v>41</v>
      </c>
      <c r="BD14" s="9">
        <v>174</v>
      </c>
      <c r="BF14" s="10"/>
      <c r="BG14" s="10"/>
      <c r="BH14" s="7" t="s">
        <v>42</v>
      </c>
      <c r="BI14" s="9">
        <v>143</v>
      </c>
      <c r="BJ14">
        <f t="shared" si="9"/>
        <v>55.621621621621614</v>
      </c>
      <c r="BL14" s="10"/>
      <c r="BM14" s="10"/>
      <c r="BN14" s="7" t="s">
        <v>43</v>
      </c>
      <c r="BO14" s="9">
        <v>195</v>
      </c>
      <c r="BP14">
        <f t="shared" si="10"/>
        <v>3.6216216216216139</v>
      </c>
      <c r="BR14" s="7" t="s">
        <v>5</v>
      </c>
      <c r="BS14" s="8">
        <v>214</v>
      </c>
      <c r="BT14" s="7" t="s">
        <v>5</v>
      </c>
      <c r="BU14" s="9">
        <v>214</v>
      </c>
      <c r="BV14">
        <f t="shared" si="14"/>
        <v>15.378378378378386</v>
      </c>
      <c r="BX14" s="10"/>
      <c r="BY14" s="10"/>
      <c r="BZ14" s="7" t="s">
        <v>96</v>
      </c>
      <c r="CA14" s="9">
        <v>169</v>
      </c>
      <c r="CB14">
        <f t="shared" si="13"/>
        <v>29.621621621621614</v>
      </c>
      <c r="CD14" s="10"/>
      <c r="CE14" s="10"/>
      <c r="CF14" s="7" t="s">
        <v>46</v>
      </c>
      <c r="CG14" s="9">
        <v>181</v>
      </c>
      <c r="CH14">
        <f t="shared" si="5"/>
        <v>17.621621621621614</v>
      </c>
      <c r="CJ14" s="10"/>
      <c r="CK14" s="10"/>
      <c r="CL14" s="7" t="s">
        <v>47</v>
      </c>
      <c r="CM14" s="9">
        <v>179</v>
      </c>
      <c r="CN14">
        <f t="shared" si="6"/>
        <v>19.621621621621614</v>
      </c>
      <c r="CS14" s="10"/>
      <c r="CT14" s="10"/>
      <c r="CU14" t="s">
        <v>104</v>
      </c>
      <c r="CV14">
        <v>261</v>
      </c>
    </row>
    <row r="15" spans="1:100">
      <c r="A15" t="s">
        <v>7</v>
      </c>
      <c r="F15" t="s">
        <v>36</v>
      </c>
      <c r="G15" s="2">
        <v>192</v>
      </c>
      <c r="I15" s="10"/>
      <c r="J15" s="10"/>
      <c r="K15" s="7" t="s">
        <v>49</v>
      </c>
      <c r="L15" s="9">
        <v>215</v>
      </c>
      <c r="M15">
        <f t="shared" si="0"/>
        <v>16.378378378378386</v>
      </c>
      <c r="P15">
        <f t="shared" si="7"/>
        <v>0</v>
      </c>
      <c r="R15" s="10"/>
      <c r="S15" s="10"/>
      <c r="T15" t="s">
        <v>104</v>
      </c>
      <c r="U15">
        <v>261</v>
      </c>
      <c r="W15" s="7" t="s">
        <v>3</v>
      </c>
      <c r="X15" s="8">
        <v>1241</v>
      </c>
      <c r="Y15" s="7" t="s">
        <v>38</v>
      </c>
      <c r="Z15" s="9">
        <v>198</v>
      </c>
      <c r="AA15">
        <f t="shared" si="8"/>
        <v>0.62162162162161394</v>
      </c>
      <c r="AC15" s="7" t="s">
        <v>3</v>
      </c>
      <c r="AD15" s="8">
        <v>1241</v>
      </c>
      <c r="AE15" s="7" t="s">
        <v>38</v>
      </c>
      <c r="AF15" s="9">
        <v>198</v>
      </c>
      <c r="AG15">
        <f t="shared" si="1"/>
        <v>0.62162162162161394</v>
      </c>
      <c r="AI15" s="7" t="s">
        <v>3</v>
      </c>
      <c r="AJ15" s="8">
        <v>1241</v>
      </c>
      <c r="AK15" s="7" t="s">
        <v>38</v>
      </c>
      <c r="AL15" s="9">
        <v>198</v>
      </c>
      <c r="AM15">
        <f t="shared" si="2"/>
        <v>0.62162162162161394</v>
      </c>
      <c r="AO15" s="10"/>
      <c r="AP15" s="10"/>
      <c r="AQ15" s="7" t="s">
        <v>39</v>
      </c>
      <c r="AR15" s="9">
        <v>215</v>
      </c>
      <c r="AS15">
        <f t="shared" si="3"/>
        <v>16.378378378378386</v>
      </c>
      <c r="AU15" s="10"/>
      <c r="AV15" s="10"/>
      <c r="AW15" s="7" t="s">
        <v>42</v>
      </c>
      <c r="AX15" s="9">
        <v>143</v>
      </c>
      <c r="AY15">
        <f t="shared" si="4"/>
        <v>55.621621621621614</v>
      </c>
      <c r="BA15" s="10"/>
      <c r="BB15" s="10"/>
      <c r="BC15" s="7" t="s">
        <v>42</v>
      </c>
      <c r="BD15" s="9">
        <v>143</v>
      </c>
      <c r="BF15" s="10"/>
      <c r="BG15" s="10"/>
      <c r="BH15" s="7" t="s">
        <v>43</v>
      </c>
      <c r="BI15" s="9">
        <v>195</v>
      </c>
      <c r="BJ15">
        <f t="shared" si="9"/>
        <v>3.6216216216216139</v>
      </c>
      <c r="BL15" s="7" t="s">
        <v>5</v>
      </c>
      <c r="BM15" s="8">
        <v>214</v>
      </c>
      <c r="BN15" s="7" t="s">
        <v>5</v>
      </c>
      <c r="BO15" s="9">
        <v>214</v>
      </c>
      <c r="BP15">
        <f t="shared" si="10"/>
        <v>15.378378378378386</v>
      </c>
      <c r="BR15" s="7" t="s">
        <v>89</v>
      </c>
      <c r="BS15" s="8">
        <v>1319</v>
      </c>
      <c r="BT15" s="7" t="s">
        <v>44</v>
      </c>
      <c r="BU15" s="9">
        <v>242</v>
      </c>
      <c r="BV15">
        <f t="shared" si="14"/>
        <v>43.378378378378386</v>
      </c>
      <c r="BX15" s="10"/>
      <c r="BY15" s="10"/>
      <c r="BZ15" s="7" t="s">
        <v>46</v>
      </c>
      <c r="CA15" s="9">
        <v>181</v>
      </c>
      <c r="CB15">
        <f t="shared" si="13"/>
        <v>17.621621621621614</v>
      </c>
      <c r="CD15" s="10"/>
      <c r="CE15" s="10"/>
      <c r="CF15" s="7" t="s">
        <v>47</v>
      </c>
      <c r="CG15" s="9">
        <v>179</v>
      </c>
      <c r="CH15">
        <f t="shared" si="5"/>
        <v>19.621621621621614</v>
      </c>
      <c r="CJ15" s="10"/>
      <c r="CK15" s="10"/>
      <c r="CL15" s="7" t="s">
        <v>49</v>
      </c>
      <c r="CM15" s="9">
        <v>215</v>
      </c>
      <c r="CN15">
        <f t="shared" si="6"/>
        <v>16.378378378378386</v>
      </c>
      <c r="CS15" s="7" t="s">
        <v>3</v>
      </c>
      <c r="CT15" s="8">
        <v>1241</v>
      </c>
      <c r="CU15" s="7" t="s">
        <v>38</v>
      </c>
      <c r="CV15" s="9">
        <v>198</v>
      </c>
    </row>
    <row r="16" spans="1:100">
      <c r="A16" t="s">
        <v>8</v>
      </c>
      <c r="F16" t="s">
        <v>118</v>
      </c>
      <c r="I16" s="10"/>
      <c r="J16" s="10"/>
      <c r="K16" s="7" t="s">
        <v>51</v>
      </c>
      <c r="L16" s="9">
        <v>210</v>
      </c>
      <c r="M16">
        <f t="shared" si="0"/>
        <v>11.378378378378386</v>
      </c>
      <c r="P16">
        <f t="shared" si="7"/>
        <v>0</v>
      </c>
      <c r="R16" s="7" t="s">
        <v>3</v>
      </c>
      <c r="S16" s="8">
        <v>1241</v>
      </c>
      <c r="T16" s="7" t="s">
        <v>38</v>
      </c>
      <c r="U16" s="9">
        <v>198</v>
      </c>
      <c r="W16" s="10"/>
      <c r="X16" s="10"/>
      <c r="Y16" s="7" t="s">
        <v>39</v>
      </c>
      <c r="Z16" s="9">
        <v>215</v>
      </c>
      <c r="AA16">
        <f t="shared" si="8"/>
        <v>16.378378378378386</v>
      </c>
      <c r="AC16" s="10"/>
      <c r="AD16" s="10"/>
      <c r="AE16" s="7" t="s">
        <v>39</v>
      </c>
      <c r="AF16" s="9">
        <v>215</v>
      </c>
      <c r="AG16">
        <f t="shared" si="1"/>
        <v>16.378378378378386</v>
      </c>
      <c r="AI16" s="10"/>
      <c r="AJ16" s="10"/>
      <c r="AK16" s="7" t="s">
        <v>39</v>
      </c>
      <c r="AL16" s="9">
        <v>215</v>
      </c>
      <c r="AM16">
        <f t="shared" si="2"/>
        <v>16.378378378378386</v>
      </c>
      <c r="AO16" s="10"/>
      <c r="AP16" s="10"/>
      <c r="AQ16" s="7" t="s">
        <v>41</v>
      </c>
      <c r="AR16" s="9">
        <v>174</v>
      </c>
      <c r="AS16">
        <f t="shared" si="3"/>
        <v>24.621621621621614</v>
      </c>
      <c r="AU16" s="10"/>
      <c r="AV16" s="10"/>
      <c r="AW16" s="7" t="s">
        <v>43</v>
      </c>
      <c r="AX16" s="9">
        <v>195</v>
      </c>
      <c r="AY16">
        <f t="shared" si="4"/>
        <v>3.6216216216216139</v>
      </c>
      <c r="BA16" s="10"/>
      <c r="BB16" s="10"/>
      <c r="BC16" s="7" t="s">
        <v>43</v>
      </c>
      <c r="BD16" s="9">
        <v>195</v>
      </c>
      <c r="BF16" s="7" t="s">
        <v>5</v>
      </c>
      <c r="BG16" s="8">
        <v>214</v>
      </c>
      <c r="BH16" s="7" t="s">
        <v>5</v>
      </c>
      <c r="BI16" s="9">
        <v>214</v>
      </c>
      <c r="BJ16">
        <f t="shared" si="9"/>
        <v>15.378378378378386</v>
      </c>
      <c r="BL16" s="7" t="s">
        <v>89</v>
      </c>
      <c r="BM16" s="8">
        <v>1319</v>
      </c>
      <c r="BN16" s="7" t="s">
        <v>44</v>
      </c>
      <c r="BO16" s="9">
        <v>242</v>
      </c>
      <c r="BP16">
        <f t="shared" si="10"/>
        <v>43.378378378378386</v>
      </c>
      <c r="BR16" s="10"/>
      <c r="BS16" s="10"/>
      <c r="BT16" s="7" t="s">
        <v>96</v>
      </c>
      <c r="BU16" s="9">
        <v>169</v>
      </c>
      <c r="BV16">
        <f t="shared" si="14"/>
        <v>29.621621621621614</v>
      </c>
      <c r="BX16" s="10"/>
      <c r="BY16" s="10"/>
      <c r="BZ16" s="7" t="s">
        <v>47</v>
      </c>
      <c r="CA16" s="9">
        <v>179</v>
      </c>
      <c r="CB16">
        <f t="shared" si="13"/>
        <v>19.621621621621614</v>
      </c>
      <c r="CD16" s="10"/>
      <c r="CE16" s="10"/>
      <c r="CF16" s="7" t="s">
        <v>49</v>
      </c>
      <c r="CG16" s="9">
        <v>215</v>
      </c>
      <c r="CH16">
        <f t="shared" si="5"/>
        <v>16.378378378378386</v>
      </c>
      <c r="CJ16" s="10"/>
      <c r="CK16" s="10"/>
      <c r="CL16" s="7" t="s">
        <v>51</v>
      </c>
      <c r="CM16" s="9">
        <v>210</v>
      </c>
      <c r="CN16">
        <f t="shared" si="6"/>
        <v>11.378378378378386</v>
      </c>
      <c r="CS16" s="10"/>
      <c r="CT16" s="10"/>
      <c r="CU16" s="7" t="s">
        <v>39</v>
      </c>
      <c r="CV16" s="9">
        <v>215</v>
      </c>
    </row>
    <row r="17" spans="1:100">
      <c r="A17" t="s">
        <v>9</v>
      </c>
      <c r="F17" t="s">
        <v>119</v>
      </c>
      <c r="I17" s="10"/>
      <c r="J17" s="10"/>
      <c r="K17" s="7" t="s">
        <v>52</v>
      </c>
      <c r="L17" s="9">
        <v>190</v>
      </c>
      <c r="M17">
        <f t="shared" si="0"/>
        <v>8.6216216216216139</v>
      </c>
      <c r="P17">
        <f t="shared" si="7"/>
        <v>0</v>
      </c>
      <c r="R17" s="10"/>
      <c r="S17" s="10"/>
      <c r="T17" s="7" t="s">
        <v>39</v>
      </c>
      <c r="U17" s="9">
        <v>215</v>
      </c>
      <c r="W17" s="10"/>
      <c r="X17" s="10"/>
      <c r="Y17" s="7" t="s">
        <v>40</v>
      </c>
      <c r="Z17" s="9">
        <v>316</v>
      </c>
      <c r="AA17">
        <f t="shared" si="8"/>
        <v>117.37837837837839</v>
      </c>
      <c r="AC17" s="13"/>
      <c r="AD17" s="13"/>
      <c r="AE17" s="11" t="s">
        <v>40</v>
      </c>
      <c r="AF17" s="14">
        <v>316</v>
      </c>
      <c r="AG17" s="15">
        <f t="shared" si="1"/>
        <v>117.37837837837839</v>
      </c>
      <c r="AI17" s="10"/>
      <c r="AJ17" s="10"/>
      <c r="AK17" s="7" t="s">
        <v>41</v>
      </c>
      <c r="AL17" s="9">
        <v>174</v>
      </c>
      <c r="AM17">
        <f t="shared" si="2"/>
        <v>24.621621621621614</v>
      </c>
      <c r="AO17" s="10"/>
      <c r="AP17" s="10"/>
      <c r="AQ17" s="7" t="s">
        <v>42</v>
      </c>
      <c r="AR17" s="9">
        <v>143</v>
      </c>
      <c r="AS17">
        <f t="shared" si="3"/>
        <v>55.621621621621614</v>
      </c>
      <c r="AU17" s="7" t="s">
        <v>5</v>
      </c>
      <c r="AV17" s="8">
        <v>214</v>
      </c>
      <c r="AW17" s="7" t="s">
        <v>5</v>
      </c>
      <c r="AX17" s="9">
        <v>214</v>
      </c>
      <c r="AY17">
        <f t="shared" si="4"/>
        <v>15.378378378378386</v>
      </c>
      <c r="BA17" s="7" t="s">
        <v>5</v>
      </c>
      <c r="BB17" s="8">
        <v>214</v>
      </c>
      <c r="BC17" s="7" t="s">
        <v>5</v>
      </c>
      <c r="BD17" s="9">
        <v>214</v>
      </c>
      <c r="BF17" s="7" t="s">
        <v>89</v>
      </c>
      <c r="BG17" s="8">
        <v>1319</v>
      </c>
      <c r="BH17" s="7" t="s">
        <v>44</v>
      </c>
      <c r="BI17" s="9">
        <v>242</v>
      </c>
      <c r="BJ17">
        <f t="shared" si="9"/>
        <v>43.378378378378386</v>
      </c>
      <c r="BL17" s="10"/>
      <c r="BM17" s="10"/>
      <c r="BN17" s="7" t="s">
        <v>96</v>
      </c>
      <c r="BO17" s="9">
        <v>169</v>
      </c>
      <c r="BP17">
        <f t="shared" si="10"/>
        <v>29.621621621621614</v>
      </c>
      <c r="BR17" s="10"/>
      <c r="BS17" s="10"/>
      <c r="BT17" s="7" t="s">
        <v>46</v>
      </c>
      <c r="BU17" s="9">
        <v>181</v>
      </c>
      <c r="BV17">
        <f t="shared" si="14"/>
        <v>17.621621621621614</v>
      </c>
      <c r="BX17" s="10"/>
      <c r="BY17" s="10"/>
      <c r="BZ17" s="7" t="s">
        <v>49</v>
      </c>
      <c r="CA17" s="9">
        <v>215</v>
      </c>
      <c r="CB17">
        <f t="shared" si="13"/>
        <v>16.378378378378386</v>
      </c>
      <c r="CD17" s="10"/>
      <c r="CE17" s="10"/>
      <c r="CF17" s="7" t="s">
        <v>51</v>
      </c>
      <c r="CG17" s="9">
        <v>210</v>
      </c>
      <c r="CH17">
        <f t="shared" si="5"/>
        <v>11.378378378378386</v>
      </c>
      <c r="CJ17" s="10"/>
      <c r="CK17" s="10"/>
      <c r="CL17" s="7" t="s">
        <v>52</v>
      </c>
      <c r="CM17" s="9">
        <v>190</v>
      </c>
      <c r="CN17">
        <f t="shared" si="6"/>
        <v>8.6216216216216139</v>
      </c>
      <c r="CS17" s="10"/>
      <c r="CT17" s="10"/>
      <c r="CU17" s="7" t="s">
        <v>40</v>
      </c>
      <c r="CV17" s="9">
        <v>316</v>
      </c>
    </row>
    <row r="18" spans="1:100">
      <c r="A18" t="s">
        <v>10</v>
      </c>
      <c r="G18" s="2"/>
      <c r="I18" s="10"/>
      <c r="J18" s="10"/>
      <c r="K18" s="7" t="s">
        <v>53</v>
      </c>
      <c r="L18" s="9">
        <v>172</v>
      </c>
      <c r="M18">
        <f t="shared" si="0"/>
        <v>26.621621621621614</v>
      </c>
      <c r="P18">
        <f t="shared" si="7"/>
        <v>0</v>
      </c>
      <c r="R18" s="10"/>
      <c r="S18" s="10"/>
      <c r="T18" s="7" t="s">
        <v>40</v>
      </c>
      <c r="U18" s="9">
        <v>316</v>
      </c>
      <c r="W18" s="10"/>
      <c r="X18" s="10"/>
      <c r="Y18" s="7" t="s">
        <v>41</v>
      </c>
      <c r="Z18" s="9">
        <v>174</v>
      </c>
      <c r="AA18">
        <f t="shared" si="8"/>
        <v>24.621621621621614</v>
      </c>
      <c r="AC18" s="10"/>
      <c r="AD18" s="10"/>
      <c r="AE18" s="7" t="s">
        <v>41</v>
      </c>
      <c r="AF18" s="9">
        <v>174</v>
      </c>
      <c r="AG18">
        <f t="shared" si="1"/>
        <v>24.621621621621614</v>
      </c>
      <c r="AI18" s="10"/>
      <c r="AJ18" s="10"/>
      <c r="AK18" s="7" t="s">
        <v>42</v>
      </c>
      <c r="AL18" s="9">
        <v>143</v>
      </c>
      <c r="AM18">
        <f t="shared" si="2"/>
        <v>55.621621621621614</v>
      </c>
      <c r="AO18" s="10"/>
      <c r="AP18" s="10"/>
      <c r="AQ18" s="7" t="s">
        <v>43</v>
      </c>
      <c r="AR18" s="9">
        <v>195</v>
      </c>
      <c r="AS18">
        <f t="shared" si="3"/>
        <v>3.6216216216216139</v>
      </c>
      <c r="AU18" s="7" t="s">
        <v>89</v>
      </c>
      <c r="AV18" s="8">
        <v>1319</v>
      </c>
      <c r="AW18" s="7" t="s">
        <v>44</v>
      </c>
      <c r="AX18" s="9">
        <v>242</v>
      </c>
      <c r="AY18">
        <f t="shared" si="4"/>
        <v>43.378378378378386</v>
      </c>
      <c r="BA18" s="7" t="s">
        <v>89</v>
      </c>
      <c r="BB18" s="8">
        <v>1319</v>
      </c>
      <c r="BC18" s="7" t="s">
        <v>44</v>
      </c>
      <c r="BD18" s="9">
        <v>242</v>
      </c>
      <c r="BF18" s="10"/>
      <c r="BG18" s="10"/>
      <c r="BH18" s="7" t="s">
        <v>96</v>
      </c>
      <c r="BI18" s="9">
        <v>169</v>
      </c>
      <c r="BJ18">
        <f t="shared" si="9"/>
        <v>29.621621621621614</v>
      </c>
      <c r="BL18" s="10"/>
      <c r="BM18" s="10"/>
      <c r="BN18" s="7" t="s">
        <v>46</v>
      </c>
      <c r="BO18" s="9">
        <v>181</v>
      </c>
      <c r="BP18">
        <f t="shared" si="10"/>
        <v>17.621621621621614</v>
      </c>
      <c r="BR18" s="10"/>
      <c r="BS18" s="10"/>
      <c r="BT18" s="7" t="s">
        <v>47</v>
      </c>
      <c r="BU18" s="9">
        <v>179</v>
      </c>
      <c r="BV18">
        <f t="shared" si="14"/>
        <v>19.621621621621614</v>
      </c>
      <c r="BX18" s="10"/>
      <c r="BY18" s="10"/>
      <c r="BZ18" s="7" t="s">
        <v>51</v>
      </c>
      <c r="CA18" s="9">
        <v>210</v>
      </c>
      <c r="CB18">
        <f t="shared" si="13"/>
        <v>11.378378378378386</v>
      </c>
      <c r="CD18" s="10"/>
      <c r="CE18" s="10"/>
      <c r="CF18" s="7" t="s">
        <v>52</v>
      </c>
      <c r="CG18" s="9">
        <v>190</v>
      </c>
      <c r="CH18">
        <f t="shared" si="5"/>
        <v>8.6216216216216139</v>
      </c>
      <c r="CJ18" s="10"/>
      <c r="CK18" s="10"/>
      <c r="CL18" s="7" t="s">
        <v>53</v>
      </c>
      <c r="CM18" s="9">
        <v>172</v>
      </c>
      <c r="CN18">
        <f t="shared" si="6"/>
        <v>26.621621621621614</v>
      </c>
      <c r="CS18" s="10"/>
      <c r="CT18" s="10"/>
      <c r="CU18" s="7" t="s">
        <v>41</v>
      </c>
      <c r="CV18" s="9">
        <v>174</v>
      </c>
    </row>
    <row r="19" spans="1:100">
      <c r="D19" t="s">
        <v>2</v>
      </c>
      <c r="E19">
        <v>792</v>
      </c>
      <c r="F19" t="s">
        <v>120</v>
      </c>
      <c r="G19">
        <v>236</v>
      </c>
      <c r="I19" s="10"/>
      <c r="J19" s="10"/>
      <c r="K19" s="7" t="s">
        <v>54</v>
      </c>
      <c r="L19" s="9">
        <v>195</v>
      </c>
      <c r="M19">
        <f t="shared" si="0"/>
        <v>3.6216216216216139</v>
      </c>
      <c r="P19">
        <f t="shared" si="7"/>
        <v>0</v>
      </c>
      <c r="R19" s="10"/>
      <c r="S19" s="10"/>
      <c r="T19" s="7" t="s">
        <v>41</v>
      </c>
      <c r="U19" s="9">
        <v>174</v>
      </c>
      <c r="W19" s="10"/>
      <c r="X19" s="10"/>
      <c r="Y19" s="7" t="s">
        <v>42</v>
      </c>
      <c r="Z19" s="9">
        <v>143</v>
      </c>
      <c r="AA19">
        <f t="shared" si="8"/>
        <v>55.621621621621614</v>
      </c>
      <c r="AC19" s="10"/>
      <c r="AD19" s="10"/>
      <c r="AE19" s="7" t="s">
        <v>42</v>
      </c>
      <c r="AF19" s="9">
        <v>143</v>
      </c>
      <c r="AG19">
        <f t="shared" si="1"/>
        <v>55.621621621621614</v>
      </c>
      <c r="AI19" s="10"/>
      <c r="AJ19" s="10"/>
      <c r="AK19" s="7" t="s">
        <v>43</v>
      </c>
      <c r="AL19" s="9">
        <v>195</v>
      </c>
      <c r="AM19">
        <f t="shared" si="2"/>
        <v>3.6216216216216139</v>
      </c>
      <c r="AO19" s="7" t="s">
        <v>5</v>
      </c>
      <c r="AP19" s="8">
        <v>214</v>
      </c>
      <c r="AQ19" s="7" t="s">
        <v>5</v>
      </c>
      <c r="AR19" s="9">
        <v>214</v>
      </c>
      <c r="AS19">
        <f t="shared" si="3"/>
        <v>15.378378378378386</v>
      </c>
      <c r="AU19" s="10"/>
      <c r="AV19" s="10"/>
      <c r="AW19" s="7" t="s">
        <v>96</v>
      </c>
      <c r="AX19" s="9">
        <v>169</v>
      </c>
      <c r="AY19">
        <f t="shared" si="4"/>
        <v>29.621621621621614</v>
      </c>
      <c r="BA19" s="10"/>
      <c r="BB19" s="10"/>
      <c r="BC19" s="7" t="s">
        <v>96</v>
      </c>
      <c r="BD19" s="9">
        <v>169</v>
      </c>
      <c r="BF19" s="10"/>
      <c r="BG19" s="10"/>
      <c r="BH19" s="7" t="s">
        <v>46</v>
      </c>
      <c r="BI19" s="9">
        <v>181</v>
      </c>
      <c r="BJ19">
        <f t="shared" si="9"/>
        <v>17.621621621621614</v>
      </c>
      <c r="BL19" s="10"/>
      <c r="BM19" s="10"/>
      <c r="BN19" s="7" t="s">
        <v>47</v>
      </c>
      <c r="BO19" s="9">
        <v>179</v>
      </c>
      <c r="BP19">
        <f t="shared" si="10"/>
        <v>19.621621621621614</v>
      </c>
      <c r="BR19" s="10"/>
      <c r="BS19" s="10"/>
      <c r="BT19" s="7" t="s">
        <v>49</v>
      </c>
      <c r="BU19" s="9">
        <v>215</v>
      </c>
      <c r="BV19">
        <f t="shared" si="14"/>
        <v>16.378378378378386</v>
      </c>
      <c r="BX19" s="10"/>
      <c r="BY19" s="10"/>
      <c r="BZ19" s="7" t="s">
        <v>52</v>
      </c>
      <c r="CA19" s="9">
        <v>190</v>
      </c>
      <c r="CB19">
        <f t="shared" si="13"/>
        <v>8.6216216216216139</v>
      </c>
      <c r="CD19" s="10"/>
      <c r="CE19" s="10"/>
      <c r="CF19" s="7" t="s">
        <v>53</v>
      </c>
      <c r="CG19" s="9">
        <v>172</v>
      </c>
      <c r="CH19">
        <f t="shared" si="5"/>
        <v>26.621621621621614</v>
      </c>
      <c r="CJ19" s="10"/>
      <c r="CK19" s="10"/>
      <c r="CL19" s="7" t="s">
        <v>54</v>
      </c>
      <c r="CM19" s="9">
        <v>195</v>
      </c>
      <c r="CN19">
        <f t="shared" si="6"/>
        <v>3.6216216216216139</v>
      </c>
      <c r="CS19" s="10"/>
      <c r="CT19" s="10"/>
      <c r="CU19" s="7" t="s">
        <v>42</v>
      </c>
      <c r="CV19" s="9">
        <v>143</v>
      </c>
    </row>
    <row r="20" spans="1:100">
      <c r="A20" t="s">
        <v>11</v>
      </c>
      <c r="F20" t="s">
        <v>121</v>
      </c>
      <c r="I20" s="7" t="s">
        <v>10</v>
      </c>
      <c r="J20" s="8">
        <v>884</v>
      </c>
      <c r="K20" s="7" t="s">
        <v>55</v>
      </c>
      <c r="L20" s="9">
        <v>166</v>
      </c>
      <c r="M20">
        <f t="shared" si="0"/>
        <v>32.621621621621614</v>
      </c>
      <c r="P20">
        <f t="shared" si="7"/>
        <v>0</v>
      </c>
      <c r="R20" s="10"/>
      <c r="S20" s="10"/>
      <c r="T20" s="7" t="s">
        <v>42</v>
      </c>
      <c r="U20" s="9">
        <v>143</v>
      </c>
      <c r="W20" s="10"/>
      <c r="X20" s="10"/>
      <c r="Y20" s="7" t="s">
        <v>43</v>
      </c>
      <c r="Z20" s="9">
        <v>195</v>
      </c>
      <c r="AA20">
        <f t="shared" si="8"/>
        <v>3.6216216216216139</v>
      </c>
      <c r="AC20" s="10"/>
      <c r="AD20" s="10"/>
      <c r="AE20" s="7" t="s">
        <v>43</v>
      </c>
      <c r="AF20" s="9">
        <v>195</v>
      </c>
      <c r="AG20">
        <f t="shared" si="1"/>
        <v>3.6216216216216139</v>
      </c>
      <c r="AI20" s="7" t="s">
        <v>5</v>
      </c>
      <c r="AJ20" s="8">
        <v>214</v>
      </c>
      <c r="AK20" s="7" t="s">
        <v>5</v>
      </c>
      <c r="AL20" s="9">
        <v>214</v>
      </c>
      <c r="AM20">
        <f t="shared" si="2"/>
        <v>15.378378378378386</v>
      </c>
      <c r="AO20" s="7" t="s">
        <v>89</v>
      </c>
      <c r="AP20" s="8">
        <v>1319</v>
      </c>
      <c r="AQ20" s="7" t="s">
        <v>44</v>
      </c>
      <c r="AR20" s="9">
        <v>242</v>
      </c>
      <c r="AS20">
        <f t="shared" si="3"/>
        <v>43.378378378378386</v>
      </c>
      <c r="AU20" s="10"/>
      <c r="AV20" s="10"/>
      <c r="AW20" s="7" t="s">
        <v>46</v>
      </c>
      <c r="AX20" s="9">
        <v>181</v>
      </c>
      <c r="AY20">
        <f t="shared" si="4"/>
        <v>17.621621621621614</v>
      </c>
      <c r="BA20" s="10"/>
      <c r="BB20" s="10"/>
      <c r="BC20" s="7" t="s">
        <v>46</v>
      </c>
      <c r="BD20" s="9">
        <v>181</v>
      </c>
      <c r="BF20" s="10"/>
      <c r="BG20" s="10"/>
      <c r="BH20" s="7" t="s">
        <v>47</v>
      </c>
      <c r="BI20" s="9">
        <v>179</v>
      </c>
      <c r="BJ20">
        <f t="shared" si="9"/>
        <v>19.621621621621614</v>
      </c>
      <c r="BL20" s="10"/>
      <c r="BM20" s="10"/>
      <c r="BN20" s="7" t="s">
        <v>49</v>
      </c>
      <c r="BO20" s="9">
        <v>215</v>
      </c>
      <c r="BP20">
        <f t="shared" si="10"/>
        <v>16.378378378378386</v>
      </c>
      <c r="BR20" s="10"/>
      <c r="BS20" s="10"/>
      <c r="BT20" s="7" t="s">
        <v>51</v>
      </c>
      <c r="BU20" s="9">
        <v>210</v>
      </c>
      <c r="BV20">
        <f t="shared" si="14"/>
        <v>11.378378378378386</v>
      </c>
      <c r="BX20" s="10"/>
      <c r="BY20" s="10"/>
      <c r="BZ20" s="7" t="s">
        <v>53</v>
      </c>
      <c r="CA20" s="9">
        <v>172</v>
      </c>
      <c r="CB20">
        <f t="shared" si="13"/>
        <v>26.621621621621614</v>
      </c>
      <c r="CD20" s="10"/>
      <c r="CE20" s="10"/>
      <c r="CF20" s="7" t="s">
        <v>54</v>
      </c>
      <c r="CG20" s="9">
        <v>195</v>
      </c>
      <c r="CH20">
        <f t="shared" si="5"/>
        <v>3.6216216216216139</v>
      </c>
      <c r="CJ20" s="7" t="s">
        <v>10</v>
      </c>
      <c r="CK20" s="8">
        <v>884</v>
      </c>
      <c r="CL20" s="7" t="s">
        <v>55</v>
      </c>
      <c r="CM20" s="9">
        <v>166</v>
      </c>
      <c r="CN20">
        <f t="shared" si="6"/>
        <v>32.621621621621614</v>
      </c>
      <c r="CS20" s="10"/>
      <c r="CT20" s="10"/>
      <c r="CU20" s="7" t="s">
        <v>43</v>
      </c>
      <c r="CV20" s="9">
        <v>195</v>
      </c>
    </row>
    <row r="21" spans="1:100">
      <c r="A21" t="s">
        <v>12</v>
      </c>
      <c r="F21" t="s">
        <v>122</v>
      </c>
      <c r="I21" s="10"/>
      <c r="J21" s="10"/>
      <c r="K21" s="7" t="s">
        <v>57</v>
      </c>
      <c r="L21" s="9">
        <v>202</v>
      </c>
      <c r="M21">
        <f t="shared" si="0"/>
        <v>3.3783783783783861</v>
      </c>
      <c r="P21">
        <f t="shared" si="7"/>
        <v>0</v>
      </c>
      <c r="R21" s="10"/>
      <c r="S21" s="10"/>
      <c r="T21" s="7" t="s">
        <v>43</v>
      </c>
      <c r="U21" s="9">
        <v>195</v>
      </c>
      <c r="W21" s="7" t="s">
        <v>5</v>
      </c>
      <c r="X21" s="8">
        <v>214</v>
      </c>
      <c r="Y21" s="7" t="s">
        <v>5</v>
      </c>
      <c r="Z21" s="9">
        <v>214</v>
      </c>
      <c r="AA21">
        <f t="shared" si="8"/>
        <v>15.378378378378386</v>
      </c>
      <c r="AC21" s="7" t="s">
        <v>5</v>
      </c>
      <c r="AD21" s="8">
        <v>214</v>
      </c>
      <c r="AE21" s="7" t="s">
        <v>5</v>
      </c>
      <c r="AF21" s="9">
        <v>214</v>
      </c>
      <c r="AG21">
        <f t="shared" si="1"/>
        <v>15.378378378378386</v>
      </c>
      <c r="AI21" s="7" t="s">
        <v>89</v>
      </c>
      <c r="AJ21" s="8">
        <v>1319</v>
      </c>
      <c r="AK21" s="7" t="s">
        <v>44</v>
      </c>
      <c r="AL21" s="9">
        <v>242</v>
      </c>
      <c r="AM21">
        <f t="shared" si="2"/>
        <v>43.378378378378386</v>
      </c>
      <c r="AO21" s="10"/>
      <c r="AP21" s="10"/>
      <c r="AQ21" s="7" t="s">
        <v>96</v>
      </c>
      <c r="AR21" s="9">
        <v>169</v>
      </c>
      <c r="AS21">
        <f t="shared" si="3"/>
        <v>29.621621621621614</v>
      </c>
      <c r="AU21" s="10"/>
      <c r="AV21" s="10"/>
      <c r="AW21" s="7" t="s">
        <v>47</v>
      </c>
      <c r="AX21" s="9">
        <v>179</v>
      </c>
      <c r="AY21">
        <f t="shared" si="4"/>
        <v>19.621621621621614</v>
      </c>
      <c r="BA21" s="10"/>
      <c r="BB21" s="10"/>
      <c r="BC21" s="7" t="s">
        <v>47</v>
      </c>
      <c r="BD21" s="9">
        <v>179</v>
      </c>
      <c r="BF21" s="10"/>
      <c r="BG21" s="10"/>
      <c r="BH21" s="7" t="s">
        <v>49</v>
      </c>
      <c r="BI21" s="9">
        <v>215</v>
      </c>
      <c r="BJ21">
        <f t="shared" si="9"/>
        <v>16.378378378378386</v>
      </c>
      <c r="BL21" s="10"/>
      <c r="BM21" s="10"/>
      <c r="BN21" s="7" t="s">
        <v>51</v>
      </c>
      <c r="BO21" s="9">
        <v>210</v>
      </c>
      <c r="BP21">
        <f t="shared" si="10"/>
        <v>11.378378378378386</v>
      </c>
      <c r="BR21" s="10"/>
      <c r="BS21" s="10"/>
      <c r="BT21" s="7" t="s">
        <v>52</v>
      </c>
      <c r="BU21" s="9">
        <v>190</v>
      </c>
      <c r="BV21">
        <f t="shared" si="14"/>
        <v>8.6216216216216139</v>
      </c>
      <c r="BX21" s="10"/>
      <c r="BY21" s="10"/>
      <c r="BZ21" s="7" t="s">
        <v>54</v>
      </c>
      <c r="CA21" s="9">
        <v>195</v>
      </c>
      <c r="CB21">
        <f t="shared" si="13"/>
        <v>3.6216216216216139</v>
      </c>
      <c r="CD21" s="7" t="s">
        <v>10</v>
      </c>
      <c r="CE21" s="8">
        <v>884</v>
      </c>
      <c r="CF21" s="7" t="s">
        <v>55</v>
      </c>
      <c r="CG21" s="9">
        <v>166</v>
      </c>
      <c r="CH21">
        <f t="shared" si="5"/>
        <v>32.621621621621614</v>
      </c>
      <c r="CJ21" s="10"/>
      <c r="CK21" s="10"/>
      <c r="CL21" s="7" t="s">
        <v>57</v>
      </c>
      <c r="CM21" s="9">
        <v>202</v>
      </c>
      <c r="CN21">
        <f t="shared" si="6"/>
        <v>3.3783783783783861</v>
      </c>
      <c r="CS21" s="7" t="s">
        <v>5</v>
      </c>
      <c r="CT21" s="8">
        <v>214</v>
      </c>
      <c r="CU21" s="7" t="s">
        <v>5</v>
      </c>
      <c r="CV21" s="9">
        <v>214</v>
      </c>
    </row>
    <row r="22" spans="1:100">
      <c r="A22" t="s">
        <v>13</v>
      </c>
      <c r="F22" t="s">
        <v>123</v>
      </c>
      <c r="G22">
        <v>295</v>
      </c>
      <c r="I22" s="10"/>
      <c r="J22" s="10"/>
      <c r="K22" s="7" t="s">
        <v>58</v>
      </c>
      <c r="L22" s="9">
        <v>213</v>
      </c>
      <c r="M22">
        <f t="shared" si="0"/>
        <v>14.378378378378386</v>
      </c>
      <c r="P22">
        <f t="shared" si="7"/>
        <v>0</v>
      </c>
      <c r="R22" s="7" t="s">
        <v>5</v>
      </c>
      <c r="S22" s="8">
        <v>214</v>
      </c>
      <c r="T22" s="7" t="s">
        <v>5</v>
      </c>
      <c r="U22" s="9">
        <v>214</v>
      </c>
      <c r="W22" s="7" t="s">
        <v>89</v>
      </c>
      <c r="X22" s="8">
        <v>1319</v>
      </c>
      <c r="Y22" s="7" t="s">
        <v>44</v>
      </c>
      <c r="Z22" s="9">
        <v>242</v>
      </c>
      <c r="AA22">
        <f t="shared" si="8"/>
        <v>43.378378378378386</v>
      </c>
      <c r="AC22" s="7" t="s">
        <v>89</v>
      </c>
      <c r="AD22" s="8">
        <v>1319</v>
      </c>
      <c r="AE22" s="7" t="s">
        <v>44</v>
      </c>
      <c r="AF22" s="9">
        <v>242</v>
      </c>
      <c r="AG22">
        <f t="shared" si="1"/>
        <v>43.378378378378386</v>
      </c>
      <c r="AI22" s="10"/>
      <c r="AJ22" s="10"/>
      <c r="AK22" s="7" t="s">
        <v>96</v>
      </c>
      <c r="AL22" s="9">
        <v>169</v>
      </c>
      <c r="AM22">
        <f t="shared" si="2"/>
        <v>29.621621621621614</v>
      </c>
      <c r="AO22" s="10"/>
      <c r="AP22" s="10"/>
      <c r="AQ22" s="7" t="s">
        <v>46</v>
      </c>
      <c r="AR22" s="9">
        <v>181</v>
      </c>
      <c r="AS22">
        <f t="shared" si="3"/>
        <v>17.621621621621614</v>
      </c>
      <c r="AU22" s="10"/>
      <c r="AV22" s="10"/>
      <c r="AW22" s="7" t="s">
        <v>49</v>
      </c>
      <c r="AX22" s="9">
        <v>215</v>
      </c>
      <c r="AY22">
        <f t="shared" si="4"/>
        <v>16.378378378378386</v>
      </c>
      <c r="BA22" s="10"/>
      <c r="BB22" s="10"/>
      <c r="BC22" s="7" t="s">
        <v>49</v>
      </c>
      <c r="BD22" s="9">
        <v>215</v>
      </c>
      <c r="BF22" s="10"/>
      <c r="BG22" s="10"/>
      <c r="BH22" s="7" t="s">
        <v>51</v>
      </c>
      <c r="BI22" s="9">
        <v>210</v>
      </c>
      <c r="BJ22">
        <f t="shared" si="9"/>
        <v>11.378378378378386</v>
      </c>
      <c r="BL22" s="10"/>
      <c r="BM22" s="10"/>
      <c r="BN22" s="7" t="s">
        <v>52</v>
      </c>
      <c r="BO22" s="9">
        <v>190</v>
      </c>
      <c r="BP22">
        <f t="shared" si="10"/>
        <v>8.6216216216216139</v>
      </c>
      <c r="BR22" s="10"/>
      <c r="BS22" s="10"/>
      <c r="BT22" s="7" t="s">
        <v>53</v>
      </c>
      <c r="BU22" s="9">
        <v>172</v>
      </c>
      <c r="BV22">
        <f t="shared" si="14"/>
        <v>26.621621621621614</v>
      </c>
      <c r="BX22" s="7" t="s">
        <v>10</v>
      </c>
      <c r="BY22" s="8">
        <v>884</v>
      </c>
      <c r="BZ22" s="7" t="s">
        <v>55</v>
      </c>
      <c r="CA22" s="9">
        <v>166</v>
      </c>
      <c r="CB22">
        <f t="shared" si="13"/>
        <v>32.621621621621614</v>
      </c>
      <c r="CD22" s="10"/>
      <c r="CE22" s="10"/>
      <c r="CF22" s="7" t="s">
        <v>57</v>
      </c>
      <c r="CG22" s="9">
        <v>202</v>
      </c>
      <c r="CH22">
        <f t="shared" si="5"/>
        <v>3.3783783783783861</v>
      </c>
      <c r="CJ22" s="10"/>
      <c r="CK22" s="10"/>
      <c r="CL22" s="7" t="s">
        <v>58</v>
      </c>
      <c r="CM22" s="9">
        <v>213</v>
      </c>
      <c r="CN22">
        <f t="shared" si="6"/>
        <v>14.378378378378386</v>
      </c>
      <c r="CS22" s="7" t="s">
        <v>89</v>
      </c>
      <c r="CT22" s="8">
        <v>1319</v>
      </c>
      <c r="CU22" s="7" t="s">
        <v>44</v>
      </c>
      <c r="CV22" s="9">
        <v>242</v>
      </c>
    </row>
    <row r="23" spans="1:100">
      <c r="A23" t="s">
        <v>25</v>
      </c>
      <c r="F23" t="s">
        <v>124</v>
      </c>
      <c r="G23">
        <v>261</v>
      </c>
      <c r="I23" s="10"/>
      <c r="J23" s="10"/>
      <c r="K23" s="7" t="s">
        <v>59</v>
      </c>
      <c r="L23" s="9">
        <v>180</v>
      </c>
      <c r="M23">
        <f t="shared" si="0"/>
        <v>18.621621621621614</v>
      </c>
      <c r="P23">
        <f t="shared" si="7"/>
        <v>0</v>
      </c>
      <c r="R23" s="11" t="s">
        <v>6</v>
      </c>
      <c r="S23" s="12">
        <v>397</v>
      </c>
      <c r="T23" s="11" t="s">
        <v>6</v>
      </c>
      <c r="U23" s="14">
        <v>397</v>
      </c>
      <c r="W23" s="10"/>
      <c r="X23" s="10"/>
      <c r="Y23" s="7" t="s">
        <v>96</v>
      </c>
      <c r="Z23" s="9">
        <v>169</v>
      </c>
      <c r="AA23">
        <f t="shared" si="8"/>
        <v>29.621621621621614</v>
      </c>
      <c r="AC23" s="10"/>
      <c r="AD23" s="10"/>
      <c r="AE23" s="7" t="s">
        <v>96</v>
      </c>
      <c r="AF23" s="9">
        <v>169</v>
      </c>
      <c r="AG23">
        <f t="shared" si="1"/>
        <v>29.621621621621614</v>
      </c>
      <c r="AI23" s="10"/>
      <c r="AJ23" s="10"/>
      <c r="AK23" s="7" t="s">
        <v>46</v>
      </c>
      <c r="AL23" s="9">
        <v>181</v>
      </c>
      <c r="AM23">
        <f t="shared" si="2"/>
        <v>17.621621621621614</v>
      </c>
      <c r="AO23" s="10"/>
      <c r="AP23" s="10"/>
      <c r="AQ23" s="7" t="s">
        <v>47</v>
      </c>
      <c r="AR23" s="9">
        <v>179</v>
      </c>
      <c r="AS23">
        <f t="shared" si="3"/>
        <v>19.621621621621614</v>
      </c>
      <c r="AU23" s="11" t="s">
        <v>90</v>
      </c>
      <c r="AV23" s="12">
        <v>1059</v>
      </c>
      <c r="AW23" s="11" t="s">
        <v>50</v>
      </c>
      <c r="AX23" s="14">
        <v>292</v>
      </c>
      <c r="AY23" s="15">
        <f t="shared" si="4"/>
        <v>93.378378378378386</v>
      </c>
      <c r="BA23" s="10"/>
      <c r="BB23" s="10"/>
      <c r="BC23" s="7" t="s">
        <v>51</v>
      </c>
      <c r="BD23" s="9">
        <v>210</v>
      </c>
      <c r="BF23" s="10"/>
      <c r="BG23" s="10"/>
      <c r="BH23" s="7" t="s">
        <v>52</v>
      </c>
      <c r="BI23" s="9">
        <v>190</v>
      </c>
      <c r="BJ23">
        <f t="shared" si="9"/>
        <v>8.6216216216216139</v>
      </c>
      <c r="BL23" s="10"/>
      <c r="BM23" s="10"/>
      <c r="BN23" s="7" t="s">
        <v>53</v>
      </c>
      <c r="BO23" s="9">
        <v>172</v>
      </c>
      <c r="BP23">
        <f t="shared" si="10"/>
        <v>26.621621621621614</v>
      </c>
      <c r="BR23" s="10"/>
      <c r="BS23" s="10"/>
      <c r="BT23" s="7" t="s">
        <v>54</v>
      </c>
      <c r="BU23" s="9">
        <v>195</v>
      </c>
      <c r="BV23">
        <f t="shared" si="14"/>
        <v>3.6216216216216139</v>
      </c>
      <c r="BX23" s="10"/>
      <c r="BY23" s="10"/>
      <c r="BZ23" s="7" t="s">
        <v>57</v>
      </c>
      <c r="CA23" s="9">
        <v>202</v>
      </c>
      <c r="CB23">
        <f t="shared" si="13"/>
        <v>3.3783783783783861</v>
      </c>
      <c r="CD23" s="10"/>
      <c r="CE23" s="10"/>
      <c r="CF23" s="7" t="s">
        <v>58</v>
      </c>
      <c r="CG23" s="9">
        <v>213</v>
      </c>
      <c r="CH23">
        <f t="shared" si="5"/>
        <v>14.378378378378386</v>
      </c>
      <c r="CJ23" s="10"/>
      <c r="CK23" s="10"/>
      <c r="CL23" s="7" t="s">
        <v>59</v>
      </c>
      <c r="CM23" s="9">
        <v>180</v>
      </c>
      <c r="CN23">
        <f t="shared" si="6"/>
        <v>18.621621621621614</v>
      </c>
      <c r="CS23" s="10"/>
      <c r="CT23" s="10"/>
      <c r="CU23" s="7" t="s">
        <v>45</v>
      </c>
      <c r="CV23" s="9">
        <v>169</v>
      </c>
    </row>
    <row r="24" spans="1:100">
      <c r="D24" t="s">
        <v>3</v>
      </c>
      <c r="E24">
        <v>1241</v>
      </c>
      <c r="F24" t="s">
        <v>38</v>
      </c>
      <c r="G24" s="2">
        <v>198</v>
      </c>
      <c r="I24" s="7" t="s">
        <v>12</v>
      </c>
      <c r="J24" s="8">
        <v>192</v>
      </c>
      <c r="K24" s="7" t="s">
        <v>12</v>
      </c>
      <c r="L24" s="9">
        <v>192</v>
      </c>
      <c r="M24">
        <f t="shared" si="0"/>
        <v>6.6216216216216139</v>
      </c>
      <c r="P24">
        <f t="shared" si="7"/>
        <v>0</v>
      </c>
      <c r="R24" s="7" t="s">
        <v>89</v>
      </c>
      <c r="S24" s="8">
        <v>1319</v>
      </c>
      <c r="T24" s="7" t="s">
        <v>44</v>
      </c>
      <c r="U24" s="9">
        <v>242</v>
      </c>
      <c r="W24" s="10"/>
      <c r="X24" s="10"/>
      <c r="Y24" s="7" t="s">
        <v>46</v>
      </c>
      <c r="Z24" s="9">
        <v>181</v>
      </c>
      <c r="AA24">
        <f t="shared" si="8"/>
        <v>17.621621621621614</v>
      </c>
      <c r="AC24" s="10"/>
      <c r="AD24" s="10"/>
      <c r="AE24" s="7" t="s">
        <v>46</v>
      </c>
      <c r="AF24" s="9">
        <v>181</v>
      </c>
      <c r="AG24">
        <f t="shared" si="1"/>
        <v>17.621621621621614</v>
      </c>
      <c r="AI24" s="10"/>
      <c r="AJ24" s="10"/>
      <c r="AK24" s="7" t="s">
        <v>47</v>
      </c>
      <c r="AL24" s="9">
        <v>179</v>
      </c>
      <c r="AM24">
        <f t="shared" si="2"/>
        <v>19.621621621621614</v>
      </c>
      <c r="AO24" s="10"/>
      <c r="AP24" s="10"/>
      <c r="AQ24" s="7" t="s">
        <v>49</v>
      </c>
      <c r="AR24" s="9">
        <v>215</v>
      </c>
      <c r="AS24">
        <f t="shared" si="3"/>
        <v>16.378378378378386</v>
      </c>
      <c r="AU24" s="10"/>
      <c r="AV24" s="10"/>
      <c r="AW24" s="7" t="s">
        <v>51</v>
      </c>
      <c r="AX24" s="9">
        <v>210</v>
      </c>
      <c r="AY24">
        <f t="shared" si="4"/>
        <v>11.378378378378386</v>
      </c>
      <c r="BA24" s="10"/>
      <c r="BB24" s="10"/>
      <c r="BC24" s="7" t="s">
        <v>52</v>
      </c>
      <c r="BD24" s="9">
        <v>190</v>
      </c>
      <c r="BF24" s="10"/>
      <c r="BG24" s="10"/>
      <c r="BH24" s="7" t="s">
        <v>53</v>
      </c>
      <c r="BI24" s="9">
        <v>172</v>
      </c>
      <c r="BJ24">
        <f t="shared" si="9"/>
        <v>26.621621621621614</v>
      </c>
      <c r="BL24" s="10"/>
      <c r="BM24" s="10"/>
      <c r="BN24" s="7" t="s">
        <v>54</v>
      </c>
      <c r="BO24" s="9">
        <v>195</v>
      </c>
      <c r="BP24">
        <f t="shared" si="10"/>
        <v>3.6216216216216139</v>
      </c>
      <c r="BR24" s="7" t="s">
        <v>10</v>
      </c>
      <c r="BS24" s="8">
        <v>884</v>
      </c>
      <c r="BT24" s="7" t="s">
        <v>55</v>
      </c>
      <c r="BU24" s="9">
        <v>166</v>
      </c>
      <c r="BV24">
        <f t="shared" si="14"/>
        <v>32.621621621621614</v>
      </c>
      <c r="BX24" s="10"/>
      <c r="BY24" s="10"/>
      <c r="BZ24" s="7" t="s">
        <v>58</v>
      </c>
      <c r="CA24" s="9">
        <v>213</v>
      </c>
      <c r="CB24">
        <f t="shared" si="13"/>
        <v>14.378378378378386</v>
      </c>
      <c r="CD24" s="10"/>
      <c r="CE24" s="10"/>
      <c r="CF24" s="7" t="s">
        <v>59</v>
      </c>
      <c r="CG24" s="9">
        <v>180</v>
      </c>
      <c r="CH24">
        <f t="shared" si="5"/>
        <v>18.621621621621614</v>
      </c>
      <c r="CJ24" s="7" t="s">
        <v>12</v>
      </c>
      <c r="CK24" s="8">
        <v>192</v>
      </c>
      <c r="CL24" s="7" t="s">
        <v>12</v>
      </c>
      <c r="CM24" s="9">
        <v>192</v>
      </c>
      <c r="CN24">
        <f t="shared" si="6"/>
        <v>6.6216216216216139</v>
      </c>
      <c r="CS24" s="10"/>
      <c r="CT24" s="10"/>
      <c r="CU24" s="7" t="s">
        <v>46</v>
      </c>
      <c r="CV24" s="9">
        <v>181</v>
      </c>
    </row>
    <row r="25" spans="1:100">
      <c r="F25" t="s">
        <v>125</v>
      </c>
      <c r="G25" s="2">
        <v>215</v>
      </c>
      <c r="I25" s="7" t="s">
        <v>25</v>
      </c>
      <c r="J25" s="8">
        <v>241</v>
      </c>
      <c r="K25" s="7" t="s">
        <v>61</v>
      </c>
      <c r="L25" s="9">
        <v>188</v>
      </c>
      <c r="M25">
        <f t="shared" si="0"/>
        <v>10.621621621621614</v>
      </c>
      <c r="P25">
        <f t="shared" si="7"/>
        <v>0</v>
      </c>
      <c r="R25" s="10"/>
      <c r="S25" s="10"/>
      <c r="T25" s="7" t="s">
        <v>96</v>
      </c>
      <c r="U25" s="9">
        <v>169</v>
      </c>
      <c r="W25" s="10"/>
      <c r="X25" s="10"/>
      <c r="Y25" s="7" t="s">
        <v>47</v>
      </c>
      <c r="Z25" s="9">
        <v>179</v>
      </c>
      <c r="AA25">
        <f t="shared" si="8"/>
        <v>19.621621621621614</v>
      </c>
      <c r="AC25" s="10"/>
      <c r="AD25" s="10"/>
      <c r="AE25" s="7" t="s">
        <v>47</v>
      </c>
      <c r="AF25" s="9">
        <v>179</v>
      </c>
      <c r="AG25">
        <f t="shared" si="1"/>
        <v>19.621621621621614</v>
      </c>
      <c r="AI25" s="10"/>
      <c r="AJ25" s="10"/>
      <c r="AK25" s="7" t="s">
        <v>49</v>
      </c>
      <c r="AL25" s="9">
        <v>215</v>
      </c>
      <c r="AM25">
        <f t="shared" si="2"/>
        <v>16.378378378378386</v>
      </c>
      <c r="AO25" s="7" t="s">
        <v>90</v>
      </c>
      <c r="AP25" s="8">
        <v>1059</v>
      </c>
      <c r="AQ25" s="7" t="s">
        <v>50</v>
      </c>
      <c r="AR25" s="9">
        <v>292</v>
      </c>
      <c r="AS25">
        <f t="shared" si="3"/>
        <v>93.378378378378386</v>
      </c>
      <c r="AU25" s="10"/>
      <c r="AV25" s="10"/>
      <c r="AW25" s="7" t="s">
        <v>52</v>
      </c>
      <c r="AX25" s="9">
        <v>190</v>
      </c>
      <c r="AY25">
        <f t="shared" si="4"/>
        <v>8.6216216216216139</v>
      </c>
      <c r="BA25" s="10"/>
      <c r="BB25" s="10"/>
      <c r="BC25" s="7" t="s">
        <v>53</v>
      </c>
      <c r="BD25" s="9">
        <v>172</v>
      </c>
      <c r="BF25" s="10"/>
      <c r="BG25" s="10"/>
      <c r="BH25" s="7" t="s">
        <v>54</v>
      </c>
      <c r="BI25" s="9">
        <v>195</v>
      </c>
      <c r="BJ25">
        <f t="shared" si="9"/>
        <v>3.6216216216216139</v>
      </c>
      <c r="BL25" s="7" t="s">
        <v>10</v>
      </c>
      <c r="BM25" s="8">
        <v>884</v>
      </c>
      <c r="BN25" s="7" t="s">
        <v>55</v>
      </c>
      <c r="BO25" s="9">
        <v>166</v>
      </c>
      <c r="BP25">
        <f t="shared" si="10"/>
        <v>32.621621621621614</v>
      </c>
      <c r="BR25" s="10"/>
      <c r="BS25" s="10"/>
      <c r="BT25" s="7" t="s">
        <v>57</v>
      </c>
      <c r="BU25" s="9">
        <v>202</v>
      </c>
      <c r="BV25">
        <f t="shared" si="14"/>
        <v>3.3783783783783861</v>
      </c>
      <c r="BX25" s="10"/>
      <c r="BY25" s="10"/>
      <c r="BZ25" s="7" t="s">
        <v>59</v>
      </c>
      <c r="CA25" s="9">
        <v>180</v>
      </c>
      <c r="CB25">
        <f t="shared" si="13"/>
        <v>18.621621621621614</v>
      </c>
      <c r="CD25" s="7" t="s">
        <v>12</v>
      </c>
      <c r="CE25" s="8">
        <v>192</v>
      </c>
      <c r="CF25" s="7" t="s">
        <v>12</v>
      </c>
      <c r="CG25" s="9">
        <v>192</v>
      </c>
      <c r="CH25">
        <f t="shared" si="5"/>
        <v>6.6216216216216139</v>
      </c>
      <c r="CJ25" s="7" t="s">
        <v>25</v>
      </c>
      <c r="CK25" s="8">
        <v>241</v>
      </c>
      <c r="CL25" s="7" t="s">
        <v>61</v>
      </c>
      <c r="CM25" s="9">
        <v>188</v>
      </c>
      <c r="CN25">
        <f t="shared" si="6"/>
        <v>10.621621621621614</v>
      </c>
      <c r="CS25" s="10"/>
      <c r="CT25" s="10"/>
      <c r="CU25" s="7" t="s">
        <v>47</v>
      </c>
      <c r="CV25" s="9">
        <v>179</v>
      </c>
    </row>
    <row r="26" spans="1:100">
      <c r="A26" t="s">
        <v>62</v>
      </c>
      <c r="F26" t="s">
        <v>126</v>
      </c>
      <c r="I26" s="7" t="s">
        <v>91</v>
      </c>
      <c r="J26" s="9">
        <v>1243</v>
      </c>
      <c r="K26" s="7" t="s">
        <v>63</v>
      </c>
      <c r="L26" s="9">
        <v>211</v>
      </c>
      <c r="M26">
        <f t="shared" si="0"/>
        <v>12.378378378378386</v>
      </c>
      <c r="P26" t="e">
        <f>IF(#REF!&gt;$O$4,1,0)</f>
        <v>#REF!</v>
      </c>
      <c r="R26" s="10"/>
      <c r="S26" s="10"/>
      <c r="T26" s="7" t="s">
        <v>46</v>
      </c>
      <c r="U26" s="9">
        <v>181</v>
      </c>
      <c r="W26" s="13"/>
      <c r="X26" s="13"/>
      <c r="Y26" s="11" t="s">
        <v>48</v>
      </c>
      <c r="Z26" s="14">
        <v>333</v>
      </c>
      <c r="AA26" s="15">
        <f t="shared" si="8"/>
        <v>134.37837837837839</v>
      </c>
      <c r="AC26" s="10"/>
      <c r="AD26" s="10"/>
      <c r="AE26" s="7" t="s">
        <v>49</v>
      </c>
      <c r="AF26" s="9">
        <v>215</v>
      </c>
      <c r="AG26">
        <f t="shared" si="1"/>
        <v>16.378378378378386</v>
      </c>
      <c r="AI26" s="7" t="s">
        <v>90</v>
      </c>
      <c r="AJ26" s="8">
        <v>1059</v>
      </c>
      <c r="AK26" s="7" t="s">
        <v>50</v>
      </c>
      <c r="AL26" s="9">
        <v>292</v>
      </c>
      <c r="AM26">
        <f t="shared" si="2"/>
        <v>93.378378378378386</v>
      </c>
      <c r="AO26" s="10"/>
      <c r="AP26" s="10"/>
      <c r="AQ26" s="7" t="s">
        <v>51</v>
      </c>
      <c r="AR26" s="9">
        <v>210</v>
      </c>
      <c r="AS26">
        <f t="shared" si="3"/>
        <v>11.378378378378386</v>
      </c>
      <c r="AU26" s="10"/>
      <c r="AV26" s="10"/>
      <c r="AW26" s="7" t="s">
        <v>53</v>
      </c>
      <c r="AX26" s="9">
        <v>172</v>
      </c>
      <c r="AY26">
        <f t="shared" si="4"/>
        <v>26.621621621621614</v>
      </c>
      <c r="BA26" s="10"/>
      <c r="BB26" s="10"/>
      <c r="BC26" s="7" t="s">
        <v>54</v>
      </c>
      <c r="BD26" s="9">
        <v>195</v>
      </c>
      <c r="BF26" s="7" t="s">
        <v>10</v>
      </c>
      <c r="BG26" s="8">
        <v>884</v>
      </c>
      <c r="BH26" s="7" t="s">
        <v>55</v>
      </c>
      <c r="BI26" s="9">
        <v>166</v>
      </c>
      <c r="BJ26">
        <f t="shared" si="9"/>
        <v>32.621621621621614</v>
      </c>
      <c r="BL26" s="10"/>
      <c r="BM26" s="10"/>
      <c r="BN26" s="7" t="s">
        <v>57</v>
      </c>
      <c r="BO26" s="9">
        <v>202</v>
      </c>
      <c r="BP26">
        <f t="shared" si="10"/>
        <v>3.3783783783783861</v>
      </c>
      <c r="BR26" s="10"/>
      <c r="BS26" s="10"/>
      <c r="BT26" s="7" t="s">
        <v>58</v>
      </c>
      <c r="BU26" s="9">
        <v>213</v>
      </c>
      <c r="BV26">
        <f t="shared" si="14"/>
        <v>14.378378378378386</v>
      </c>
      <c r="BX26" s="7" t="s">
        <v>12</v>
      </c>
      <c r="BY26" s="8">
        <v>192</v>
      </c>
      <c r="BZ26" s="7" t="s">
        <v>12</v>
      </c>
      <c r="CA26" s="9">
        <v>192</v>
      </c>
      <c r="CB26">
        <f t="shared" si="13"/>
        <v>6.6216216216216139</v>
      </c>
      <c r="CD26" s="7" t="s">
        <v>25</v>
      </c>
      <c r="CE26" s="8">
        <v>241</v>
      </c>
      <c r="CF26" s="7" t="s">
        <v>61</v>
      </c>
      <c r="CG26" s="9">
        <v>188</v>
      </c>
      <c r="CH26">
        <f t="shared" si="5"/>
        <v>10.621621621621614</v>
      </c>
      <c r="CJ26" s="13"/>
      <c r="CK26" s="13"/>
      <c r="CL26" s="11" t="s">
        <v>25</v>
      </c>
      <c r="CM26" s="14">
        <v>241</v>
      </c>
      <c r="CN26" s="15">
        <f t="shared" si="6"/>
        <v>42.378378378378386</v>
      </c>
      <c r="CS26" s="10"/>
      <c r="CT26" s="10"/>
      <c r="CU26" s="7" t="s">
        <v>48</v>
      </c>
      <c r="CV26" s="9">
        <v>333</v>
      </c>
    </row>
    <row r="27" spans="1:100">
      <c r="A27" t="s">
        <v>23</v>
      </c>
      <c r="F27" t="s">
        <v>127</v>
      </c>
      <c r="G27" s="2">
        <v>316</v>
      </c>
      <c r="I27" s="10"/>
      <c r="J27" s="10"/>
      <c r="K27" s="7" t="s">
        <v>66</v>
      </c>
      <c r="L27" s="9">
        <v>204</v>
      </c>
      <c r="M27">
        <f t="shared" si="0"/>
        <v>5.3783783783783861</v>
      </c>
      <c r="P27">
        <f>IF(M26&gt;$O$4,1,0)</f>
        <v>0</v>
      </c>
      <c r="R27" s="10"/>
      <c r="S27" s="10"/>
      <c r="T27" s="7" t="s">
        <v>47</v>
      </c>
      <c r="U27" s="9">
        <v>179</v>
      </c>
      <c r="W27" s="10"/>
      <c r="X27" s="10"/>
      <c r="Y27" s="7" t="s">
        <v>49</v>
      </c>
      <c r="Z27" s="9">
        <v>215</v>
      </c>
      <c r="AA27">
        <f t="shared" si="8"/>
        <v>16.378378378378386</v>
      </c>
      <c r="AC27" s="7" t="s">
        <v>90</v>
      </c>
      <c r="AD27" s="8">
        <v>1059</v>
      </c>
      <c r="AE27" s="7" t="s">
        <v>50</v>
      </c>
      <c r="AF27" s="9">
        <v>292</v>
      </c>
      <c r="AG27">
        <f t="shared" si="1"/>
        <v>93.378378378378386</v>
      </c>
      <c r="AI27" s="10"/>
      <c r="AJ27" s="10"/>
      <c r="AK27" s="7" t="s">
        <v>51</v>
      </c>
      <c r="AL27" s="9">
        <v>210</v>
      </c>
      <c r="AM27">
        <f t="shared" si="2"/>
        <v>11.378378378378386</v>
      </c>
      <c r="AO27" s="10"/>
      <c r="AP27" s="10"/>
      <c r="AQ27" s="7" t="s">
        <v>52</v>
      </c>
      <c r="AR27" s="9">
        <v>190</v>
      </c>
      <c r="AS27">
        <f t="shared" si="3"/>
        <v>8.6216216216216139</v>
      </c>
      <c r="AU27" s="10"/>
      <c r="AV27" s="10"/>
      <c r="AW27" s="7" t="s">
        <v>54</v>
      </c>
      <c r="AX27" s="9">
        <v>195</v>
      </c>
      <c r="AY27">
        <f t="shared" si="4"/>
        <v>3.6216216216216139</v>
      </c>
      <c r="BA27" s="7" t="s">
        <v>10</v>
      </c>
      <c r="BB27" s="8">
        <v>884</v>
      </c>
      <c r="BC27" s="7" t="s">
        <v>55</v>
      </c>
      <c r="BD27" s="9">
        <v>166</v>
      </c>
      <c r="BF27" s="10"/>
      <c r="BG27" s="10"/>
      <c r="BH27" s="7" t="s">
        <v>57</v>
      </c>
      <c r="BI27" s="9">
        <v>202</v>
      </c>
      <c r="BJ27">
        <f t="shared" si="9"/>
        <v>3.3783783783783861</v>
      </c>
      <c r="BL27" s="10"/>
      <c r="BM27" s="10"/>
      <c r="BN27" s="7" t="s">
        <v>58</v>
      </c>
      <c r="BO27" s="9">
        <v>213</v>
      </c>
      <c r="BP27">
        <f t="shared" si="10"/>
        <v>14.378378378378386</v>
      </c>
      <c r="BR27" s="10"/>
      <c r="BS27" s="10"/>
      <c r="BT27" s="7" t="s">
        <v>59</v>
      </c>
      <c r="BU27" s="9">
        <v>180</v>
      </c>
      <c r="BV27">
        <f t="shared" si="14"/>
        <v>18.621621621621614</v>
      </c>
      <c r="BX27" s="7" t="s">
        <v>25</v>
      </c>
      <c r="BY27" s="8">
        <v>241</v>
      </c>
      <c r="BZ27" s="7" t="s">
        <v>61</v>
      </c>
      <c r="CA27" s="9">
        <v>188</v>
      </c>
      <c r="CB27">
        <f t="shared" si="13"/>
        <v>10.621621621621614</v>
      </c>
      <c r="CD27" s="10"/>
      <c r="CE27" s="10"/>
      <c r="CF27" s="7" t="s">
        <v>25</v>
      </c>
      <c r="CG27" s="9">
        <v>241</v>
      </c>
      <c r="CH27">
        <f t="shared" si="5"/>
        <v>42.378378378378386</v>
      </c>
      <c r="CJ27" s="7" t="s">
        <v>91</v>
      </c>
      <c r="CK27" s="9">
        <v>1243</v>
      </c>
      <c r="CL27" s="7" t="s">
        <v>63</v>
      </c>
      <c r="CM27" s="9">
        <v>211</v>
      </c>
      <c r="CN27">
        <f t="shared" si="6"/>
        <v>12.378378378378386</v>
      </c>
      <c r="CS27" s="10"/>
      <c r="CT27" s="10"/>
      <c r="CU27" s="7" t="s">
        <v>49</v>
      </c>
      <c r="CV27" s="9">
        <v>215</v>
      </c>
    </row>
    <row r="28" spans="1:100">
      <c r="A28" t="s">
        <v>14</v>
      </c>
      <c r="F28" t="s">
        <v>128</v>
      </c>
      <c r="G28" s="2">
        <v>174</v>
      </c>
      <c r="I28" s="10"/>
      <c r="J28" s="10"/>
      <c r="K28" s="7" t="s">
        <v>67</v>
      </c>
      <c r="L28" s="9">
        <v>177</v>
      </c>
      <c r="M28">
        <f t="shared" si="0"/>
        <v>21.621621621621614</v>
      </c>
      <c r="P28">
        <f>IF(M27&gt;$O$4,1,0)</f>
        <v>0</v>
      </c>
      <c r="R28" s="10"/>
      <c r="S28" s="10"/>
      <c r="T28" s="7" t="s">
        <v>48</v>
      </c>
      <c r="U28" s="9">
        <v>333</v>
      </c>
      <c r="W28" s="7" t="s">
        <v>90</v>
      </c>
      <c r="X28" s="8">
        <v>1059</v>
      </c>
      <c r="Y28" s="7" t="s">
        <v>50</v>
      </c>
      <c r="Z28" s="9">
        <v>292</v>
      </c>
      <c r="AA28">
        <f t="shared" si="8"/>
        <v>93.378378378378386</v>
      </c>
      <c r="AC28" s="10"/>
      <c r="AD28" s="10"/>
      <c r="AE28" s="7" t="s">
        <v>51</v>
      </c>
      <c r="AF28" s="9">
        <v>210</v>
      </c>
      <c r="AG28">
        <f t="shared" si="1"/>
        <v>11.378378378378386</v>
      </c>
      <c r="AI28" s="10"/>
      <c r="AJ28" s="10"/>
      <c r="AK28" s="7" t="s">
        <v>52</v>
      </c>
      <c r="AL28" s="9">
        <v>190</v>
      </c>
      <c r="AM28">
        <f t="shared" si="2"/>
        <v>8.6216216216216139</v>
      </c>
      <c r="AO28" s="10"/>
      <c r="AP28" s="10"/>
      <c r="AQ28" s="7" t="s">
        <v>53</v>
      </c>
      <c r="AR28" s="9">
        <v>172</v>
      </c>
      <c r="AS28">
        <f t="shared" si="3"/>
        <v>26.621621621621614</v>
      </c>
      <c r="AU28" s="11" t="s">
        <v>7</v>
      </c>
      <c r="AV28" s="12">
        <v>282</v>
      </c>
      <c r="AW28" s="11" t="s">
        <v>7</v>
      </c>
      <c r="AX28" s="14">
        <v>282</v>
      </c>
      <c r="AY28" s="15">
        <f t="shared" si="4"/>
        <v>83.378378378378386</v>
      </c>
      <c r="BA28" s="10"/>
      <c r="BB28" s="10"/>
      <c r="BC28" s="7" t="s">
        <v>57</v>
      </c>
      <c r="BD28" s="9">
        <v>202</v>
      </c>
      <c r="BF28" s="10"/>
      <c r="BG28" s="10"/>
      <c r="BH28" s="7" t="s">
        <v>58</v>
      </c>
      <c r="BI28" s="9">
        <v>213</v>
      </c>
      <c r="BJ28">
        <f t="shared" si="9"/>
        <v>14.378378378378386</v>
      </c>
      <c r="BL28" s="10"/>
      <c r="BM28" s="10"/>
      <c r="BN28" s="7" t="s">
        <v>59</v>
      </c>
      <c r="BO28" s="9">
        <v>180</v>
      </c>
      <c r="BP28">
        <f t="shared" si="10"/>
        <v>18.621621621621614</v>
      </c>
      <c r="BR28" s="7" t="s">
        <v>12</v>
      </c>
      <c r="BS28" s="8">
        <v>192</v>
      </c>
      <c r="BT28" s="7" t="s">
        <v>12</v>
      </c>
      <c r="BU28" s="9">
        <v>192</v>
      </c>
      <c r="BV28">
        <f t="shared" si="14"/>
        <v>6.6216216216216139</v>
      </c>
      <c r="BX28" s="10"/>
      <c r="BY28" s="10"/>
      <c r="BZ28" s="7" t="s">
        <v>25</v>
      </c>
      <c r="CA28" s="9">
        <v>241</v>
      </c>
      <c r="CB28">
        <f t="shared" si="13"/>
        <v>42.378378378378386</v>
      </c>
      <c r="CD28" s="7" t="s">
        <v>91</v>
      </c>
      <c r="CE28" s="9">
        <v>1243</v>
      </c>
      <c r="CF28" s="7" t="s">
        <v>63</v>
      </c>
      <c r="CG28" s="9">
        <v>211</v>
      </c>
      <c r="CH28">
        <f t="shared" si="5"/>
        <v>12.378378378378386</v>
      </c>
      <c r="CJ28" s="10"/>
      <c r="CK28" s="10"/>
      <c r="CL28" s="7" t="s">
        <v>66</v>
      </c>
      <c r="CM28" s="9">
        <v>204</v>
      </c>
      <c r="CN28">
        <f t="shared" si="6"/>
        <v>5.3783783783783861</v>
      </c>
      <c r="CS28" s="7" t="s">
        <v>90</v>
      </c>
      <c r="CT28" s="8">
        <v>1059</v>
      </c>
      <c r="CU28" s="7" t="s">
        <v>50</v>
      </c>
      <c r="CV28" s="9">
        <v>292</v>
      </c>
    </row>
    <row r="29" spans="1:100">
      <c r="A29" t="s">
        <v>24</v>
      </c>
      <c r="F29" t="s">
        <v>42</v>
      </c>
      <c r="G29" s="2">
        <v>143</v>
      </c>
      <c r="I29" s="10"/>
      <c r="J29" s="10"/>
      <c r="K29" s="7" t="s">
        <v>68</v>
      </c>
      <c r="L29" s="9">
        <v>198</v>
      </c>
      <c r="M29">
        <f t="shared" si="0"/>
        <v>0.62162162162161394</v>
      </c>
      <c r="P29">
        <f>IF(M28&gt;$O$4,1,0)</f>
        <v>0</v>
      </c>
      <c r="R29" s="10"/>
      <c r="S29" s="10"/>
      <c r="T29" s="7" t="s">
        <v>49</v>
      </c>
      <c r="U29" s="9">
        <v>215</v>
      </c>
      <c r="W29" s="10"/>
      <c r="X29" s="10"/>
      <c r="Y29" s="7" t="s">
        <v>51</v>
      </c>
      <c r="Z29" s="9">
        <v>210</v>
      </c>
      <c r="AA29">
        <f t="shared" si="8"/>
        <v>11.378378378378386</v>
      </c>
      <c r="AC29" s="10"/>
      <c r="AD29" s="10"/>
      <c r="AE29" s="7" t="s">
        <v>52</v>
      </c>
      <c r="AF29" s="9">
        <v>190</v>
      </c>
      <c r="AG29">
        <f t="shared" si="1"/>
        <v>8.6216216216216139</v>
      </c>
      <c r="AI29" s="10"/>
      <c r="AJ29" s="10"/>
      <c r="AK29" s="7" t="s">
        <v>53</v>
      </c>
      <c r="AL29" s="9">
        <v>172</v>
      </c>
      <c r="AM29">
        <f t="shared" si="2"/>
        <v>26.621621621621614</v>
      </c>
      <c r="AO29" s="10"/>
      <c r="AP29" s="10"/>
      <c r="AQ29" s="7" t="s">
        <v>54</v>
      </c>
      <c r="AR29" s="9">
        <v>195</v>
      </c>
      <c r="AS29">
        <f t="shared" si="3"/>
        <v>3.6216216216216139</v>
      </c>
      <c r="AU29" s="7" t="s">
        <v>10</v>
      </c>
      <c r="AV29" s="8">
        <v>884</v>
      </c>
      <c r="AW29" s="7" t="s">
        <v>55</v>
      </c>
      <c r="AX29" s="9">
        <v>166</v>
      </c>
      <c r="AY29">
        <f t="shared" si="4"/>
        <v>32.621621621621614</v>
      </c>
      <c r="BA29" s="10"/>
      <c r="BB29" s="10"/>
      <c r="BC29" s="7" t="s">
        <v>58</v>
      </c>
      <c r="BD29" s="9">
        <v>213</v>
      </c>
      <c r="BF29" s="10"/>
      <c r="BG29" s="10"/>
      <c r="BH29" s="7" t="s">
        <v>59</v>
      </c>
      <c r="BI29" s="9">
        <v>180</v>
      </c>
      <c r="BJ29">
        <f t="shared" si="9"/>
        <v>18.621621621621614</v>
      </c>
      <c r="BL29" s="7" t="s">
        <v>12</v>
      </c>
      <c r="BM29" s="8">
        <v>192</v>
      </c>
      <c r="BN29" s="7" t="s">
        <v>12</v>
      </c>
      <c r="BO29" s="9">
        <v>192</v>
      </c>
      <c r="BP29">
        <f t="shared" si="10"/>
        <v>6.6216216216216139</v>
      </c>
      <c r="BR29" s="7" t="s">
        <v>25</v>
      </c>
      <c r="BS29" s="8">
        <v>241</v>
      </c>
      <c r="BT29" s="7" t="s">
        <v>61</v>
      </c>
      <c r="BU29" s="9">
        <v>188</v>
      </c>
      <c r="BV29">
        <f t="shared" si="14"/>
        <v>10.621621621621614</v>
      </c>
      <c r="BX29" s="7" t="s">
        <v>91</v>
      </c>
      <c r="BY29" s="9">
        <v>1243</v>
      </c>
      <c r="BZ29" s="7" t="s">
        <v>63</v>
      </c>
      <c r="CA29" s="9">
        <v>211</v>
      </c>
      <c r="CB29">
        <f t="shared" si="13"/>
        <v>12.378378378378386</v>
      </c>
      <c r="CD29" s="10"/>
      <c r="CE29" s="10"/>
      <c r="CF29" s="7" t="s">
        <v>66</v>
      </c>
      <c r="CG29" s="9">
        <v>204</v>
      </c>
      <c r="CH29">
        <f t="shared" si="5"/>
        <v>5.3783783783783861</v>
      </c>
      <c r="CJ29" s="10"/>
      <c r="CK29" s="10"/>
      <c r="CL29" s="7" t="s">
        <v>67</v>
      </c>
      <c r="CM29" s="9">
        <v>177</v>
      </c>
      <c r="CN29">
        <f t="shared" si="6"/>
        <v>21.621621621621614</v>
      </c>
      <c r="CS29" s="10"/>
      <c r="CT29" s="10"/>
      <c r="CU29" s="7" t="s">
        <v>51</v>
      </c>
      <c r="CV29" s="9">
        <v>210</v>
      </c>
    </row>
    <row r="30" spans="1:100">
      <c r="A30" t="s">
        <v>15</v>
      </c>
      <c r="F30" t="s">
        <v>43</v>
      </c>
      <c r="G30" s="2">
        <v>195</v>
      </c>
      <c r="I30" s="7" t="s">
        <v>92</v>
      </c>
      <c r="J30" s="8">
        <v>1081</v>
      </c>
      <c r="K30" s="7" t="s">
        <v>69</v>
      </c>
      <c r="L30" s="9">
        <v>206</v>
      </c>
      <c r="M30">
        <f t="shared" si="0"/>
        <v>7.3783783783783861</v>
      </c>
      <c r="P30">
        <f>IF(M29&gt;$O$4,1,0)</f>
        <v>0</v>
      </c>
      <c r="R30" s="7" t="s">
        <v>90</v>
      </c>
      <c r="S30" s="8">
        <v>1059</v>
      </c>
      <c r="T30" s="7" t="s">
        <v>50</v>
      </c>
      <c r="U30" s="9">
        <v>292</v>
      </c>
      <c r="W30" s="10"/>
      <c r="X30" s="10"/>
      <c r="Y30" s="7" t="s">
        <v>52</v>
      </c>
      <c r="Z30" s="9">
        <v>190</v>
      </c>
      <c r="AA30">
        <f t="shared" si="8"/>
        <v>8.6216216216216139</v>
      </c>
      <c r="AC30" s="10"/>
      <c r="AD30" s="10"/>
      <c r="AE30" s="7" t="s">
        <v>53</v>
      </c>
      <c r="AF30" s="9">
        <v>172</v>
      </c>
      <c r="AG30">
        <f t="shared" si="1"/>
        <v>26.621621621621614</v>
      </c>
      <c r="AI30" s="10"/>
      <c r="AJ30" s="10"/>
      <c r="AK30" s="7" t="s">
        <v>54</v>
      </c>
      <c r="AL30" s="9">
        <v>195</v>
      </c>
      <c r="AM30">
        <f t="shared" si="2"/>
        <v>3.6216216216216139</v>
      </c>
      <c r="AO30" s="7" t="s">
        <v>7</v>
      </c>
      <c r="AP30" s="8">
        <v>282</v>
      </c>
      <c r="AQ30" s="7" t="s">
        <v>7</v>
      </c>
      <c r="AR30" s="9">
        <v>282</v>
      </c>
      <c r="AS30">
        <f t="shared" si="3"/>
        <v>83.378378378378386</v>
      </c>
      <c r="AU30" s="10"/>
      <c r="AV30" s="10"/>
      <c r="AW30" s="7" t="s">
        <v>57</v>
      </c>
      <c r="AX30" s="9">
        <v>202</v>
      </c>
      <c r="AY30">
        <f t="shared" si="4"/>
        <v>3.3783783783783861</v>
      </c>
      <c r="BA30" s="10"/>
      <c r="BB30" s="10"/>
      <c r="BC30" s="7" t="s">
        <v>59</v>
      </c>
      <c r="BD30" s="9">
        <v>180</v>
      </c>
      <c r="BF30" s="7" t="s">
        <v>12</v>
      </c>
      <c r="BG30" s="8">
        <v>192</v>
      </c>
      <c r="BH30" s="7" t="s">
        <v>12</v>
      </c>
      <c r="BI30" s="9">
        <v>192</v>
      </c>
      <c r="BJ30">
        <f t="shared" si="9"/>
        <v>6.6216216216216139</v>
      </c>
      <c r="BL30" s="7" t="s">
        <v>25</v>
      </c>
      <c r="BM30" s="8">
        <v>241</v>
      </c>
      <c r="BN30" s="7" t="s">
        <v>61</v>
      </c>
      <c r="BO30" s="9">
        <v>188</v>
      </c>
      <c r="BP30">
        <f t="shared" si="10"/>
        <v>10.621621621621614</v>
      </c>
      <c r="BR30" s="10"/>
      <c r="BS30" s="10"/>
      <c r="BT30" s="7" t="s">
        <v>25</v>
      </c>
      <c r="BU30" s="9">
        <v>241</v>
      </c>
      <c r="BV30">
        <f t="shared" si="14"/>
        <v>42.378378378378386</v>
      </c>
      <c r="BX30" s="13"/>
      <c r="BY30" s="13"/>
      <c r="BZ30" s="11" t="s">
        <v>65</v>
      </c>
      <c r="CA30" s="14">
        <v>146</v>
      </c>
      <c r="CB30" s="15">
        <f t="shared" si="13"/>
        <v>52.621621621621614</v>
      </c>
      <c r="CD30" s="10"/>
      <c r="CE30" s="10"/>
      <c r="CF30" s="7" t="s">
        <v>67</v>
      </c>
      <c r="CG30" s="9">
        <v>177</v>
      </c>
      <c r="CH30">
        <f t="shared" si="5"/>
        <v>21.621621621621614</v>
      </c>
      <c r="CJ30" s="10"/>
      <c r="CK30" s="10"/>
      <c r="CL30" s="7" t="s">
        <v>68</v>
      </c>
      <c r="CM30" s="9">
        <v>198</v>
      </c>
      <c r="CN30">
        <f t="shared" si="6"/>
        <v>0.62162162162161394</v>
      </c>
      <c r="CS30" s="10"/>
      <c r="CT30" s="10"/>
      <c r="CU30" s="7" t="s">
        <v>52</v>
      </c>
      <c r="CV30" s="9">
        <v>190</v>
      </c>
    </row>
    <row r="31" spans="1:100">
      <c r="A31" t="s">
        <v>16</v>
      </c>
      <c r="D31" t="s">
        <v>5</v>
      </c>
      <c r="E31">
        <v>214</v>
      </c>
      <c r="F31" t="s">
        <v>5</v>
      </c>
      <c r="G31" s="2">
        <v>214</v>
      </c>
      <c r="I31" s="10"/>
      <c r="J31" s="10"/>
      <c r="K31" s="7" t="s">
        <v>72</v>
      </c>
      <c r="L31" s="9">
        <v>225</v>
      </c>
      <c r="M31">
        <f t="shared" si="0"/>
        <v>26.378378378378386</v>
      </c>
      <c r="P31">
        <f>IF(M30&gt;$O$4,1,0)</f>
        <v>0</v>
      </c>
      <c r="R31" s="10"/>
      <c r="S31" s="10"/>
      <c r="T31" s="7" t="s">
        <v>51</v>
      </c>
      <c r="U31" s="9">
        <v>210</v>
      </c>
      <c r="W31" s="10"/>
      <c r="X31" s="10"/>
      <c r="Y31" s="7" t="s">
        <v>53</v>
      </c>
      <c r="Z31" s="9">
        <v>172</v>
      </c>
      <c r="AA31">
        <f t="shared" si="8"/>
        <v>26.621621621621614</v>
      </c>
      <c r="AC31" s="10"/>
      <c r="AD31" s="10"/>
      <c r="AE31" s="7" t="s">
        <v>54</v>
      </c>
      <c r="AF31" s="9">
        <v>195</v>
      </c>
      <c r="AG31">
        <f t="shared" si="1"/>
        <v>3.6216216216216139</v>
      </c>
      <c r="AI31" s="7" t="s">
        <v>7</v>
      </c>
      <c r="AJ31" s="8">
        <v>282</v>
      </c>
      <c r="AK31" s="7" t="s">
        <v>7</v>
      </c>
      <c r="AL31" s="9">
        <v>282</v>
      </c>
      <c r="AM31">
        <f t="shared" si="2"/>
        <v>83.378378378378386</v>
      </c>
      <c r="AO31" s="7" t="s">
        <v>10</v>
      </c>
      <c r="AP31" s="8">
        <v>884</v>
      </c>
      <c r="AQ31" s="7" t="s">
        <v>55</v>
      </c>
      <c r="AR31" s="9">
        <v>166</v>
      </c>
      <c r="AS31">
        <f t="shared" si="3"/>
        <v>32.621621621621614</v>
      </c>
      <c r="AU31" s="10"/>
      <c r="AV31" s="10"/>
      <c r="AW31" s="7" t="s">
        <v>58</v>
      </c>
      <c r="AX31" s="9">
        <v>213</v>
      </c>
      <c r="AY31">
        <f t="shared" si="4"/>
        <v>14.378378378378386</v>
      </c>
      <c r="BA31" s="7" t="s">
        <v>12</v>
      </c>
      <c r="BB31" s="8">
        <v>192</v>
      </c>
      <c r="BC31" s="7" t="s">
        <v>12</v>
      </c>
      <c r="BD31" s="9">
        <v>192</v>
      </c>
      <c r="BF31" s="7" t="s">
        <v>25</v>
      </c>
      <c r="BG31" s="8">
        <v>241</v>
      </c>
      <c r="BH31" s="7" t="s">
        <v>61</v>
      </c>
      <c r="BI31" s="9">
        <v>188</v>
      </c>
      <c r="BJ31">
        <f t="shared" si="9"/>
        <v>10.621621621621614</v>
      </c>
      <c r="BL31" s="10"/>
      <c r="BM31" s="10"/>
      <c r="BN31" s="7" t="s">
        <v>25</v>
      </c>
      <c r="BO31" s="9">
        <v>241</v>
      </c>
      <c r="BP31">
        <f t="shared" si="10"/>
        <v>42.378378378378386</v>
      </c>
      <c r="BR31" s="7" t="s">
        <v>91</v>
      </c>
      <c r="BS31" s="9">
        <v>1243</v>
      </c>
      <c r="BT31" s="7" t="s">
        <v>63</v>
      </c>
      <c r="BU31" s="9">
        <v>211</v>
      </c>
      <c r="BV31">
        <f t="shared" si="14"/>
        <v>12.378378378378386</v>
      </c>
      <c r="BX31" s="10"/>
      <c r="BY31" s="10"/>
      <c r="BZ31" s="7" t="s">
        <v>66</v>
      </c>
      <c r="CA31" s="9">
        <v>204</v>
      </c>
      <c r="CB31">
        <f t="shared" si="13"/>
        <v>5.3783783783783861</v>
      </c>
      <c r="CD31" s="10"/>
      <c r="CE31" s="10"/>
      <c r="CF31" s="7" t="s">
        <v>68</v>
      </c>
      <c r="CG31" s="9">
        <v>198</v>
      </c>
      <c r="CH31">
        <f t="shared" si="5"/>
        <v>0.62162162162161394</v>
      </c>
      <c r="CJ31" s="7" t="s">
        <v>92</v>
      </c>
      <c r="CK31" s="8">
        <v>1081</v>
      </c>
      <c r="CL31" s="7" t="s">
        <v>69</v>
      </c>
      <c r="CM31" s="9">
        <v>206</v>
      </c>
      <c r="CN31">
        <f t="shared" si="6"/>
        <v>7.3783783783783861</v>
      </c>
      <c r="CS31" s="10"/>
      <c r="CT31" s="10"/>
      <c r="CU31" s="7" t="s">
        <v>53</v>
      </c>
      <c r="CV31" s="9">
        <v>172</v>
      </c>
    </row>
    <row r="32" spans="1:100">
      <c r="A32" t="s">
        <v>17</v>
      </c>
      <c r="D32" t="s">
        <v>6</v>
      </c>
      <c r="E32">
        <v>397</v>
      </c>
      <c r="F32" t="s">
        <v>129</v>
      </c>
      <c r="G32" s="2">
        <v>397</v>
      </c>
      <c r="I32" s="10"/>
      <c r="J32" s="10"/>
      <c r="K32" s="7" t="s">
        <v>73</v>
      </c>
      <c r="L32" s="9">
        <v>199</v>
      </c>
      <c r="M32">
        <f t="shared" si="0"/>
        <v>0.37837837837838606</v>
      </c>
      <c r="P32" t="e">
        <f>IF(#REF!&gt;$O$4,1,0)</f>
        <v>#REF!</v>
      </c>
      <c r="R32" s="10"/>
      <c r="S32" s="10"/>
      <c r="T32" s="7" t="s">
        <v>52</v>
      </c>
      <c r="U32" s="9">
        <v>190</v>
      </c>
      <c r="W32" s="10"/>
      <c r="X32" s="10"/>
      <c r="Y32" s="7" t="s">
        <v>54</v>
      </c>
      <c r="Z32" s="9">
        <v>195</v>
      </c>
      <c r="AA32">
        <f t="shared" si="8"/>
        <v>3.6216216216216139</v>
      </c>
      <c r="AC32" s="7" t="s">
        <v>7</v>
      </c>
      <c r="AD32" s="8">
        <v>282</v>
      </c>
      <c r="AE32" s="7" t="s">
        <v>7</v>
      </c>
      <c r="AF32" s="9">
        <v>282</v>
      </c>
      <c r="AG32">
        <f t="shared" si="1"/>
        <v>83.378378378378386</v>
      </c>
      <c r="AI32" s="7" t="s">
        <v>10</v>
      </c>
      <c r="AJ32" s="8">
        <v>884</v>
      </c>
      <c r="AK32" s="7" t="s">
        <v>55</v>
      </c>
      <c r="AL32" s="9">
        <v>166</v>
      </c>
      <c r="AM32">
        <f t="shared" si="2"/>
        <v>32.621621621621614</v>
      </c>
      <c r="AO32" s="10"/>
      <c r="AP32" s="10"/>
      <c r="AQ32" s="7" t="s">
        <v>57</v>
      </c>
      <c r="AR32" s="9">
        <v>202</v>
      </c>
      <c r="AS32">
        <f t="shared" si="3"/>
        <v>3.3783783783783861</v>
      </c>
      <c r="AU32" s="10"/>
      <c r="AV32" s="10"/>
      <c r="AW32" s="7" t="s">
        <v>59</v>
      </c>
      <c r="AX32" s="9">
        <v>180</v>
      </c>
      <c r="AY32">
        <f t="shared" si="4"/>
        <v>18.621621621621614</v>
      </c>
      <c r="BA32" s="11" t="s">
        <v>13</v>
      </c>
      <c r="BB32" s="12">
        <v>459</v>
      </c>
      <c r="BC32" s="11" t="s">
        <v>60</v>
      </c>
      <c r="BD32" s="14">
        <v>271</v>
      </c>
      <c r="BF32" s="10"/>
      <c r="BG32" s="10"/>
      <c r="BH32" s="7" t="s">
        <v>25</v>
      </c>
      <c r="BI32" s="9">
        <v>241</v>
      </c>
      <c r="BJ32">
        <f t="shared" si="9"/>
        <v>42.378378378378386</v>
      </c>
      <c r="BL32" s="7" t="s">
        <v>91</v>
      </c>
      <c r="BM32" s="9">
        <v>1243</v>
      </c>
      <c r="BN32" s="7" t="s">
        <v>63</v>
      </c>
      <c r="BO32" s="9">
        <v>211</v>
      </c>
      <c r="BP32">
        <f t="shared" si="10"/>
        <v>12.378378378378386</v>
      </c>
      <c r="BR32" s="10"/>
      <c r="BS32" s="10"/>
      <c r="BT32" s="7" t="s">
        <v>65</v>
      </c>
      <c r="BU32" s="9">
        <v>146</v>
      </c>
      <c r="BV32">
        <f t="shared" si="14"/>
        <v>52.621621621621614</v>
      </c>
      <c r="BX32" s="10"/>
      <c r="BY32" s="10"/>
      <c r="BZ32" s="7" t="s">
        <v>67</v>
      </c>
      <c r="CA32" s="9">
        <v>177</v>
      </c>
      <c r="CB32">
        <f t="shared" si="13"/>
        <v>21.621621621621614</v>
      </c>
      <c r="CD32" s="7" t="s">
        <v>92</v>
      </c>
      <c r="CE32" s="8">
        <v>1081</v>
      </c>
      <c r="CF32" s="7" t="s">
        <v>69</v>
      </c>
      <c r="CG32" s="9">
        <v>206</v>
      </c>
      <c r="CH32">
        <f t="shared" si="5"/>
        <v>7.3783783783783861</v>
      </c>
      <c r="CJ32" s="13"/>
      <c r="CK32" s="13"/>
      <c r="CL32" s="11" t="s">
        <v>71</v>
      </c>
      <c r="CM32" s="14">
        <v>157</v>
      </c>
      <c r="CN32" s="15">
        <f t="shared" si="6"/>
        <v>41.621621621621614</v>
      </c>
      <c r="CS32" s="10"/>
      <c r="CT32" s="10"/>
      <c r="CU32" s="7" t="s">
        <v>54</v>
      </c>
      <c r="CV32" s="9">
        <v>195</v>
      </c>
    </row>
    <row r="33" spans="4:100">
      <c r="D33" t="s">
        <v>89</v>
      </c>
      <c r="E33">
        <v>1319</v>
      </c>
      <c r="F33" t="s">
        <v>130</v>
      </c>
      <c r="G33" s="2">
        <v>242</v>
      </c>
      <c r="I33" s="10"/>
      <c r="J33" s="10"/>
      <c r="K33" s="7" t="s">
        <v>80</v>
      </c>
      <c r="L33" s="9">
        <v>202</v>
      </c>
      <c r="M33">
        <f t="shared" si="0"/>
        <v>3.3783783783783861</v>
      </c>
      <c r="P33">
        <f t="shared" ref="P33:P40" si="15">IF(M31&gt;$O$4,1,0)</f>
        <v>0</v>
      </c>
      <c r="R33" s="10"/>
      <c r="S33" s="10"/>
      <c r="T33" s="7" t="s">
        <v>53</v>
      </c>
      <c r="U33" s="9">
        <v>172</v>
      </c>
      <c r="W33" s="7" t="s">
        <v>7</v>
      </c>
      <c r="X33" s="8">
        <v>282</v>
      </c>
      <c r="Y33" s="7" t="s">
        <v>7</v>
      </c>
      <c r="Z33" s="9">
        <v>282</v>
      </c>
      <c r="AA33">
        <f t="shared" si="8"/>
        <v>83.378378378378386</v>
      </c>
      <c r="AC33" s="7" t="s">
        <v>10</v>
      </c>
      <c r="AD33" s="8">
        <v>884</v>
      </c>
      <c r="AE33" s="7" t="s">
        <v>55</v>
      </c>
      <c r="AF33" s="9">
        <v>166</v>
      </c>
      <c r="AG33">
        <f t="shared" si="1"/>
        <v>32.621621621621614</v>
      </c>
      <c r="AI33" s="13"/>
      <c r="AJ33" s="13"/>
      <c r="AK33" s="11" t="s">
        <v>56</v>
      </c>
      <c r="AL33" s="14">
        <v>123</v>
      </c>
      <c r="AM33" s="15">
        <f t="shared" si="2"/>
        <v>75.621621621621614</v>
      </c>
      <c r="AO33" s="10"/>
      <c r="AP33" s="10"/>
      <c r="AQ33" s="7" t="s">
        <v>58</v>
      </c>
      <c r="AR33" s="9">
        <v>213</v>
      </c>
      <c r="AS33">
        <f t="shared" si="3"/>
        <v>14.378378378378386</v>
      </c>
      <c r="AU33" s="7" t="s">
        <v>12</v>
      </c>
      <c r="AV33" s="8">
        <v>192</v>
      </c>
      <c r="AW33" s="7" t="s">
        <v>12</v>
      </c>
      <c r="AX33" s="9">
        <v>192</v>
      </c>
      <c r="AY33">
        <f t="shared" si="4"/>
        <v>6.6216216216216139</v>
      </c>
      <c r="BA33" s="7" t="s">
        <v>25</v>
      </c>
      <c r="BB33" s="8">
        <v>241</v>
      </c>
      <c r="BC33" s="7" t="s">
        <v>61</v>
      </c>
      <c r="BD33" s="9">
        <v>188</v>
      </c>
      <c r="BF33" s="7" t="s">
        <v>91</v>
      </c>
      <c r="BG33" s="9">
        <v>1243</v>
      </c>
      <c r="BH33" s="7" t="s">
        <v>63</v>
      </c>
      <c r="BI33" s="9">
        <v>211</v>
      </c>
      <c r="BJ33">
        <f t="shared" si="9"/>
        <v>12.378378378378386</v>
      </c>
      <c r="BL33" s="10"/>
      <c r="BM33" s="10"/>
      <c r="BN33" s="7" t="s">
        <v>65</v>
      </c>
      <c r="BO33" s="9">
        <v>146</v>
      </c>
      <c r="BP33">
        <f t="shared" si="10"/>
        <v>52.621621621621614</v>
      </c>
      <c r="BR33" s="10"/>
      <c r="BS33" s="10"/>
      <c r="BT33" s="7" t="s">
        <v>66</v>
      </c>
      <c r="BU33" s="9">
        <v>204</v>
      </c>
      <c r="BV33">
        <f t="shared" si="14"/>
        <v>5.3783783783783861</v>
      </c>
      <c r="BX33" s="10"/>
      <c r="BY33" s="10"/>
      <c r="BZ33" s="7" t="s">
        <v>68</v>
      </c>
      <c r="CA33" s="9">
        <v>198</v>
      </c>
      <c r="CB33">
        <f t="shared" si="13"/>
        <v>0.62162162162161394</v>
      </c>
      <c r="CD33" s="10"/>
      <c r="CE33" s="10"/>
      <c r="CF33" s="7" t="s">
        <v>71</v>
      </c>
      <c r="CG33" s="9">
        <v>157</v>
      </c>
      <c r="CH33">
        <f t="shared" si="5"/>
        <v>41.621621621621614</v>
      </c>
      <c r="CJ33" s="10"/>
      <c r="CK33" s="10"/>
      <c r="CL33" s="7" t="s">
        <v>72</v>
      </c>
      <c r="CM33" s="9">
        <v>225</v>
      </c>
      <c r="CN33">
        <f t="shared" si="6"/>
        <v>26.378378378378386</v>
      </c>
      <c r="CS33" s="7" t="s">
        <v>7</v>
      </c>
      <c r="CT33" s="8">
        <v>282</v>
      </c>
      <c r="CU33" s="7" t="s">
        <v>7</v>
      </c>
      <c r="CV33" s="9">
        <v>282</v>
      </c>
    </row>
    <row r="34" spans="4:100">
      <c r="F34" t="s">
        <v>131</v>
      </c>
      <c r="I34" s="10"/>
      <c r="J34" s="10"/>
      <c r="K34" s="7" t="s">
        <v>81</v>
      </c>
      <c r="L34" s="9">
        <v>206</v>
      </c>
      <c r="M34">
        <f t="shared" si="0"/>
        <v>7.3783783783783861</v>
      </c>
      <c r="P34">
        <f t="shared" si="15"/>
        <v>0</v>
      </c>
      <c r="R34" s="10"/>
      <c r="S34" s="10"/>
      <c r="T34" s="7" t="s">
        <v>54</v>
      </c>
      <c r="U34" s="9">
        <v>195</v>
      </c>
      <c r="W34" s="7" t="s">
        <v>10</v>
      </c>
      <c r="X34" s="8">
        <v>884</v>
      </c>
      <c r="Y34" s="7" t="s">
        <v>55</v>
      </c>
      <c r="Z34" s="9">
        <v>166</v>
      </c>
      <c r="AA34">
        <f t="shared" si="8"/>
        <v>32.621621621621614</v>
      </c>
      <c r="AC34" s="10"/>
      <c r="AD34" s="10"/>
      <c r="AE34" s="7" t="s">
        <v>56</v>
      </c>
      <c r="AF34" s="9">
        <v>123</v>
      </c>
      <c r="AG34">
        <f t="shared" ref="AG34:AG65" si="16">ABS(AF34 - $O$1)</f>
        <v>75.621621621621614</v>
      </c>
      <c r="AI34" s="10"/>
      <c r="AJ34" s="10"/>
      <c r="AK34" s="7" t="s">
        <v>57</v>
      </c>
      <c r="AL34" s="9">
        <v>202</v>
      </c>
      <c r="AM34">
        <f t="shared" ref="AM34:AM65" si="17">ABS(AL34 - $O$1)</f>
        <v>3.3783783783783861</v>
      </c>
      <c r="AO34" s="10"/>
      <c r="AP34" s="10"/>
      <c r="AQ34" s="7" t="s">
        <v>59</v>
      </c>
      <c r="AR34" s="9">
        <v>180</v>
      </c>
      <c r="AS34">
        <f t="shared" ref="AS34:AS65" si="18">ABS(AR34 - $O$1)</f>
        <v>18.621621621621614</v>
      </c>
      <c r="AU34" s="7" t="s">
        <v>13</v>
      </c>
      <c r="AV34" s="8">
        <v>459</v>
      </c>
      <c r="AW34" s="7" t="s">
        <v>60</v>
      </c>
      <c r="AX34" s="9">
        <v>271</v>
      </c>
      <c r="AY34">
        <f t="shared" ref="AY34:AY65" si="19">ABS(AX34 - $O$1)</f>
        <v>72.378378378378386</v>
      </c>
      <c r="BA34" s="10"/>
      <c r="BB34" s="10"/>
      <c r="BC34" s="7" t="s">
        <v>25</v>
      </c>
      <c r="BD34" s="9">
        <v>241</v>
      </c>
      <c r="BF34" s="10"/>
      <c r="BG34" s="10"/>
      <c r="BH34" s="7" t="s">
        <v>65</v>
      </c>
      <c r="BI34" s="9">
        <v>146</v>
      </c>
      <c r="BJ34">
        <f t="shared" si="9"/>
        <v>52.621621621621614</v>
      </c>
      <c r="BL34" s="10"/>
      <c r="BM34" s="10"/>
      <c r="BN34" s="7" t="s">
        <v>66</v>
      </c>
      <c r="BO34" s="9">
        <v>204</v>
      </c>
      <c r="BP34">
        <f t="shared" si="10"/>
        <v>5.3783783783783861</v>
      </c>
      <c r="BR34" s="10"/>
      <c r="BS34" s="10"/>
      <c r="BT34" s="7" t="s">
        <v>67</v>
      </c>
      <c r="BU34" s="9">
        <v>177</v>
      </c>
      <c r="BV34">
        <f t="shared" si="14"/>
        <v>21.621621621621614</v>
      </c>
      <c r="BX34" s="7" t="s">
        <v>92</v>
      </c>
      <c r="BY34" s="8">
        <v>1081</v>
      </c>
      <c r="BZ34" s="7" t="s">
        <v>69</v>
      </c>
      <c r="CA34" s="9">
        <v>206</v>
      </c>
      <c r="CB34">
        <f t="shared" si="13"/>
        <v>7.3783783783783861</v>
      </c>
      <c r="CD34" s="10"/>
      <c r="CE34" s="10"/>
      <c r="CF34" s="7" t="s">
        <v>72</v>
      </c>
      <c r="CG34" s="9">
        <v>225</v>
      </c>
      <c r="CH34">
        <f t="shared" si="5"/>
        <v>26.378378378378386</v>
      </c>
      <c r="CJ34" s="10"/>
      <c r="CK34" s="10"/>
      <c r="CL34" s="7" t="s">
        <v>73</v>
      </c>
      <c r="CM34" s="9">
        <v>199</v>
      </c>
      <c r="CN34">
        <f t="shared" si="6"/>
        <v>0.37837837837838606</v>
      </c>
      <c r="CS34" s="7" t="s">
        <v>10</v>
      </c>
      <c r="CT34" s="8">
        <v>884</v>
      </c>
      <c r="CU34" s="7" t="s">
        <v>55</v>
      </c>
      <c r="CV34" s="9">
        <v>166</v>
      </c>
    </row>
    <row r="35" spans="4:100">
      <c r="F35" s="1" t="s">
        <v>45</v>
      </c>
      <c r="G35" s="2">
        <v>169</v>
      </c>
      <c r="I35" s="10"/>
      <c r="J35" s="10"/>
      <c r="K35" s="7" t="s">
        <v>82</v>
      </c>
      <c r="L35" s="9">
        <v>178</v>
      </c>
      <c r="M35">
        <f t="shared" si="0"/>
        <v>20.621621621621614</v>
      </c>
      <c r="P35">
        <f t="shared" si="15"/>
        <v>0</v>
      </c>
      <c r="R35" s="7" t="s">
        <v>7</v>
      </c>
      <c r="S35" s="8">
        <v>282</v>
      </c>
      <c r="T35" s="7" t="s">
        <v>7</v>
      </c>
      <c r="U35" s="9">
        <v>282</v>
      </c>
      <c r="W35" s="10"/>
      <c r="X35" s="10"/>
      <c r="Y35" s="7" t="s">
        <v>56</v>
      </c>
      <c r="Z35" s="9">
        <v>123</v>
      </c>
      <c r="AA35">
        <f t="shared" si="8"/>
        <v>75.621621621621614</v>
      </c>
      <c r="AC35" s="10"/>
      <c r="AD35" s="10"/>
      <c r="AE35" s="7" t="s">
        <v>57</v>
      </c>
      <c r="AF35" s="9">
        <v>202</v>
      </c>
      <c r="AG35">
        <f t="shared" si="16"/>
        <v>3.3783783783783861</v>
      </c>
      <c r="AI35" s="10"/>
      <c r="AJ35" s="10"/>
      <c r="AK35" s="7" t="s">
        <v>58</v>
      </c>
      <c r="AL35" s="9">
        <v>213</v>
      </c>
      <c r="AM35">
        <f t="shared" si="17"/>
        <v>14.378378378378386</v>
      </c>
      <c r="AO35" s="7" t="s">
        <v>12</v>
      </c>
      <c r="AP35" s="8">
        <v>192</v>
      </c>
      <c r="AQ35" s="7" t="s">
        <v>12</v>
      </c>
      <c r="AR35" s="9">
        <v>192</v>
      </c>
      <c r="AS35">
        <f t="shared" si="18"/>
        <v>6.6216216216216139</v>
      </c>
      <c r="AU35" s="7" t="s">
        <v>25</v>
      </c>
      <c r="AV35" s="8">
        <v>241</v>
      </c>
      <c r="AW35" s="7" t="s">
        <v>61</v>
      </c>
      <c r="AX35" s="9">
        <v>188</v>
      </c>
      <c r="AY35">
        <f t="shared" si="19"/>
        <v>10.621621621621614</v>
      </c>
      <c r="BA35" s="7" t="s">
        <v>91</v>
      </c>
      <c r="BB35" s="9">
        <v>1243</v>
      </c>
      <c r="BC35" s="7" t="s">
        <v>63</v>
      </c>
      <c r="BD35" s="9">
        <v>211</v>
      </c>
      <c r="BF35" s="10"/>
      <c r="BG35" s="10"/>
      <c r="BH35" s="7" t="s">
        <v>66</v>
      </c>
      <c r="BI35" s="9">
        <v>204</v>
      </c>
      <c r="BJ35">
        <f>ABS(BI35 - $O$1)</f>
        <v>5.3783783783783861</v>
      </c>
      <c r="BL35" s="10"/>
      <c r="BM35" s="10"/>
      <c r="BN35" s="7" t="s">
        <v>67</v>
      </c>
      <c r="BO35" s="9">
        <v>177</v>
      </c>
      <c r="BP35">
        <f t="shared" si="10"/>
        <v>21.621621621621614</v>
      </c>
      <c r="BR35" s="10"/>
      <c r="BS35" s="10"/>
      <c r="BT35" s="7" t="s">
        <v>68</v>
      </c>
      <c r="BU35" s="9">
        <v>198</v>
      </c>
      <c r="BV35">
        <f t="shared" si="14"/>
        <v>0.62162162162161394</v>
      </c>
      <c r="BX35" s="10"/>
      <c r="BY35" s="10"/>
      <c r="BZ35" s="7" t="s">
        <v>71</v>
      </c>
      <c r="CA35" s="9">
        <v>157</v>
      </c>
      <c r="CB35">
        <f t="shared" si="13"/>
        <v>41.621621621621614</v>
      </c>
      <c r="CD35" s="10"/>
      <c r="CE35" s="10"/>
      <c r="CF35" s="7" t="s">
        <v>73</v>
      </c>
      <c r="CG35" s="9">
        <v>199</v>
      </c>
      <c r="CH35">
        <f t="shared" si="5"/>
        <v>0.37837837837838606</v>
      </c>
      <c r="CJ35" s="10"/>
      <c r="CK35" s="10"/>
      <c r="CL35" s="7" t="s">
        <v>80</v>
      </c>
      <c r="CM35" s="9">
        <v>202</v>
      </c>
      <c r="CN35">
        <f t="shared" si="6"/>
        <v>3.3783783783783861</v>
      </c>
      <c r="CS35" s="10"/>
      <c r="CT35" s="10"/>
      <c r="CU35" s="7" t="s">
        <v>56</v>
      </c>
      <c r="CV35" s="9">
        <v>123</v>
      </c>
    </row>
    <row r="36" spans="4:100">
      <c r="F36" t="s">
        <v>46</v>
      </c>
      <c r="G36" s="2">
        <v>181</v>
      </c>
      <c r="I36" s="10"/>
      <c r="J36" s="10"/>
      <c r="K36" s="7" t="s">
        <v>83</v>
      </c>
      <c r="L36" s="9">
        <v>233</v>
      </c>
      <c r="M36">
        <f t="shared" si="0"/>
        <v>34.378378378378386</v>
      </c>
      <c r="P36">
        <f t="shared" si="15"/>
        <v>0</v>
      </c>
      <c r="R36" s="11" t="s">
        <v>8</v>
      </c>
      <c r="S36" s="12">
        <v>46</v>
      </c>
      <c r="T36" s="11" t="s">
        <v>8</v>
      </c>
      <c r="U36" s="14">
        <v>46</v>
      </c>
      <c r="W36" s="10"/>
      <c r="X36" s="10"/>
      <c r="Y36" s="7" t="s">
        <v>57</v>
      </c>
      <c r="Z36" s="9">
        <v>202</v>
      </c>
      <c r="AA36">
        <f t="shared" si="8"/>
        <v>3.3783783783783861</v>
      </c>
      <c r="AC36" s="10"/>
      <c r="AD36" s="10"/>
      <c r="AE36" s="7" t="s">
        <v>58</v>
      </c>
      <c r="AF36" s="9">
        <v>213</v>
      </c>
      <c r="AG36">
        <f t="shared" si="16"/>
        <v>14.378378378378386</v>
      </c>
      <c r="AI36" s="10"/>
      <c r="AJ36" s="10"/>
      <c r="AK36" s="7" t="s">
        <v>59</v>
      </c>
      <c r="AL36" s="9">
        <v>180</v>
      </c>
      <c r="AM36">
        <f t="shared" si="17"/>
        <v>18.621621621621614</v>
      </c>
      <c r="AO36" s="7" t="s">
        <v>13</v>
      </c>
      <c r="AP36" s="8">
        <v>459</v>
      </c>
      <c r="AQ36" s="7" t="s">
        <v>60</v>
      </c>
      <c r="AR36" s="9">
        <v>271</v>
      </c>
      <c r="AS36">
        <f t="shared" si="18"/>
        <v>72.378378378378386</v>
      </c>
      <c r="AU36" s="10"/>
      <c r="AV36" s="10"/>
      <c r="AW36" s="7" t="s">
        <v>25</v>
      </c>
      <c r="AX36" s="9">
        <v>241</v>
      </c>
      <c r="AY36">
        <f t="shared" si="19"/>
        <v>42.378378378378386</v>
      </c>
      <c r="BA36" s="10"/>
      <c r="BB36" s="10"/>
      <c r="BC36" s="7" t="s">
        <v>65</v>
      </c>
      <c r="BD36" s="9">
        <v>146</v>
      </c>
      <c r="BF36" s="10"/>
      <c r="BG36" s="10"/>
      <c r="BH36" s="7" t="s">
        <v>67</v>
      </c>
      <c r="BI36" s="9">
        <v>177</v>
      </c>
      <c r="BJ36">
        <f t="shared" si="9"/>
        <v>21.621621621621614</v>
      </c>
      <c r="BL36" s="10"/>
      <c r="BM36" s="10"/>
      <c r="BN36" s="7" t="s">
        <v>68</v>
      </c>
      <c r="BO36" s="9">
        <v>198</v>
      </c>
      <c r="BP36">
        <f t="shared" si="10"/>
        <v>0.62162162162161394</v>
      </c>
      <c r="BR36" s="7" t="s">
        <v>92</v>
      </c>
      <c r="BS36" s="8">
        <v>1081</v>
      </c>
      <c r="BT36" s="7" t="s">
        <v>69</v>
      </c>
      <c r="BU36" s="9">
        <v>206</v>
      </c>
      <c r="BV36">
        <f t="shared" si="14"/>
        <v>7.3783783783783861</v>
      </c>
      <c r="BX36" s="10"/>
      <c r="BY36" s="10"/>
      <c r="BZ36" s="7" t="s">
        <v>72</v>
      </c>
      <c r="CA36" s="9">
        <v>225</v>
      </c>
      <c r="CB36">
        <f t="shared" si="13"/>
        <v>26.378378378378386</v>
      </c>
      <c r="CD36" s="11" t="s">
        <v>93</v>
      </c>
      <c r="CE36" s="12">
        <v>1609</v>
      </c>
      <c r="CF36" s="11" t="s">
        <v>76</v>
      </c>
      <c r="CG36" s="14">
        <v>151</v>
      </c>
      <c r="CH36" s="15">
        <f t="shared" si="5"/>
        <v>47.621621621621614</v>
      </c>
      <c r="CJ36" s="10"/>
      <c r="CK36" s="10"/>
      <c r="CL36" s="7" t="s">
        <v>81</v>
      </c>
      <c r="CM36" s="9">
        <v>206</v>
      </c>
      <c r="CN36">
        <f t="shared" si="6"/>
        <v>7.3783783783783861</v>
      </c>
      <c r="CS36" s="10"/>
      <c r="CT36" s="10"/>
      <c r="CU36" s="7" t="s">
        <v>57</v>
      </c>
      <c r="CV36" s="9">
        <v>202</v>
      </c>
    </row>
    <row r="37" spans="4:100">
      <c r="F37" t="s">
        <v>47</v>
      </c>
      <c r="G37" s="2">
        <v>179</v>
      </c>
      <c r="I37" s="7" t="s">
        <v>15</v>
      </c>
      <c r="J37" s="8">
        <v>571</v>
      </c>
      <c r="K37" s="7" t="s">
        <v>84</v>
      </c>
      <c r="L37" s="9">
        <v>225</v>
      </c>
      <c r="M37">
        <f t="shared" si="0"/>
        <v>26.378378378378386</v>
      </c>
      <c r="P37">
        <f t="shared" si="15"/>
        <v>0</v>
      </c>
      <c r="R37" s="7" t="s">
        <v>10</v>
      </c>
      <c r="S37" s="8">
        <v>884</v>
      </c>
      <c r="T37" s="7" t="s">
        <v>55</v>
      </c>
      <c r="U37" s="9">
        <v>166</v>
      </c>
      <c r="W37" s="10"/>
      <c r="X37" s="10"/>
      <c r="Y37" s="7" t="s">
        <v>58</v>
      </c>
      <c r="Z37" s="9">
        <v>213</v>
      </c>
      <c r="AA37">
        <f t="shared" si="8"/>
        <v>14.378378378378386</v>
      </c>
      <c r="AC37" s="10"/>
      <c r="AD37" s="10"/>
      <c r="AE37" s="7" t="s">
        <v>59</v>
      </c>
      <c r="AF37" s="9">
        <v>180</v>
      </c>
      <c r="AG37">
        <f t="shared" si="16"/>
        <v>18.621621621621614</v>
      </c>
      <c r="AI37" s="7" t="s">
        <v>12</v>
      </c>
      <c r="AJ37" s="8">
        <v>192</v>
      </c>
      <c r="AK37" s="7" t="s">
        <v>12</v>
      </c>
      <c r="AL37" s="9">
        <v>192</v>
      </c>
      <c r="AM37">
        <f t="shared" si="17"/>
        <v>6.6216216216216139</v>
      </c>
      <c r="AO37" s="7" t="s">
        <v>25</v>
      </c>
      <c r="AP37" s="8">
        <v>241</v>
      </c>
      <c r="AQ37" s="7" t="s">
        <v>61</v>
      </c>
      <c r="AR37" s="9">
        <v>188</v>
      </c>
      <c r="AS37">
        <f t="shared" si="18"/>
        <v>10.621621621621614</v>
      </c>
      <c r="AU37" s="7" t="s">
        <v>91</v>
      </c>
      <c r="AV37" s="9">
        <v>1243</v>
      </c>
      <c r="AW37" s="7" t="s">
        <v>63</v>
      </c>
      <c r="AX37" s="9">
        <v>211</v>
      </c>
      <c r="AY37">
        <f t="shared" si="19"/>
        <v>12.378378378378386</v>
      </c>
      <c r="BA37" s="10"/>
      <c r="BB37" s="10"/>
      <c r="BC37" s="7" t="s">
        <v>66</v>
      </c>
      <c r="BD37" s="9">
        <v>204</v>
      </c>
      <c r="BF37" s="10"/>
      <c r="BG37" s="10"/>
      <c r="BH37" s="7" t="s">
        <v>68</v>
      </c>
      <c r="BI37" s="9">
        <v>198</v>
      </c>
      <c r="BJ37">
        <f t="shared" si="9"/>
        <v>0.62162162162161394</v>
      </c>
      <c r="BL37" s="7" t="s">
        <v>92</v>
      </c>
      <c r="BM37" s="8">
        <v>1081</v>
      </c>
      <c r="BN37" s="7" t="s">
        <v>69</v>
      </c>
      <c r="BO37" s="9">
        <v>206</v>
      </c>
      <c r="BP37">
        <f t="shared" si="10"/>
        <v>7.3783783783783861</v>
      </c>
      <c r="BR37" s="10"/>
      <c r="BS37" s="10"/>
      <c r="BT37" s="7" t="s">
        <v>71</v>
      </c>
      <c r="BU37" s="9">
        <v>157</v>
      </c>
      <c r="BV37">
        <f t="shared" si="14"/>
        <v>41.621621621621614</v>
      </c>
      <c r="BX37" s="10"/>
      <c r="BY37" s="10"/>
      <c r="BZ37" s="7" t="s">
        <v>73</v>
      </c>
      <c r="CA37" s="9">
        <v>199</v>
      </c>
      <c r="CB37">
        <f t="shared" si="13"/>
        <v>0.37837837837838606</v>
      </c>
      <c r="CD37" s="10"/>
      <c r="CE37" s="10"/>
      <c r="CF37" s="7" t="s">
        <v>80</v>
      </c>
      <c r="CG37" s="9">
        <v>202</v>
      </c>
      <c r="CH37">
        <f t="shared" si="5"/>
        <v>3.3783783783783861</v>
      </c>
      <c r="CJ37" s="10"/>
      <c r="CK37" s="10"/>
      <c r="CL37" s="7" t="s">
        <v>82</v>
      </c>
      <c r="CM37" s="9">
        <v>178</v>
      </c>
      <c r="CN37">
        <f t="shared" si="6"/>
        <v>20.621621621621614</v>
      </c>
      <c r="CS37" s="10"/>
      <c r="CT37" s="10"/>
      <c r="CU37" s="7" t="s">
        <v>58</v>
      </c>
      <c r="CV37" s="9">
        <v>213</v>
      </c>
    </row>
    <row r="38" spans="4:100">
      <c r="F38" t="s">
        <v>132</v>
      </c>
      <c r="G38" s="2">
        <v>333</v>
      </c>
      <c r="I38" s="7" t="s">
        <v>17</v>
      </c>
      <c r="J38" s="8">
        <v>547</v>
      </c>
      <c r="K38" s="7" t="s">
        <v>86</v>
      </c>
      <c r="L38" s="9">
        <v>183</v>
      </c>
      <c r="M38">
        <f t="shared" si="0"/>
        <v>15.621621621621614</v>
      </c>
      <c r="P38">
        <f t="shared" si="15"/>
        <v>0</v>
      </c>
      <c r="R38" s="10"/>
      <c r="S38" s="10"/>
      <c r="T38" s="7" t="s">
        <v>56</v>
      </c>
      <c r="U38" s="9">
        <v>123</v>
      </c>
      <c r="W38" s="10"/>
      <c r="X38" s="10"/>
      <c r="Y38" s="7" t="s">
        <v>59</v>
      </c>
      <c r="Z38" s="9">
        <v>180</v>
      </c>
      <c r="AA38">
        <f t="shared" si="8"/>
        <v>18.621621621621614</v>
      </c>
      <c r="AC38" s="7" t="s">
        <v>12</v>
      </c>
      <c r="AD38" s="8">
        <v>192</v>
      </c>
      <c r="AE38" s="7" t="s">
        <v>12</v>
      </c>
      <c r="AF38" s="9">
        <v>192</v>
      </c>
      <c r="AG38">
        <f t="shared" si="16"/>
        <v>6.6216216216216139</v>
      </c>
      <c r="AI38" s="7" t="s">
        <v>13</v>
      </c>
      <c r="AJ38" s="8">
        <v>459</v>
      </c>
      <c r="AK38" s="7" t="s">
        <v>60</v>
      </c>
      <c r="AL38" s="9">
        <v>271</v>
      </c>
      <c r="AM38">
        <f t="shared" si="17"/>
        <v>72.378378378378386</v>
      </c>
      <c r="AO38" s="10"/>
      <c r="AP38" s="10"/>
      <c r="AQ38" s="7" t="s">
        <v>25</v>
      </c>
      <c r="AR38" s="9">
        <v>241</v>
      </c>
      <c r="AS38">
        <f t="shared" si="18"/>
        <v>42.378378378378386</v>
      </c>
      <c r="AU38" s="10"/>
      <c r="AV38" s="10"/>
      <c r="AW38" s="7" t="s">
        <v>65</v>
      </c>
      <c r="AX38" s="9">
        <v>146</v>
      </c>
      <c r="AY38">
        <f t="shared" si="19"/>
        <v>52.621621621621614</v>
      </c>
      <c r="BA38" s="10"/>
      <c r="BB38" s="10"/>
      <c r="BC38" s="7" t="s">
        <v>67</v>
      </c>
      <c r="BD38" s="9">
        <v>177</v>
      </c>
      <c r="BF38" s="7" t="s">
        <v>92</v>
      </c>
      <c r="BG38" s="8">
        <v>1081</v>
      </c>
      <c r="BH38" s="7" t="s">
        <v>69</v>
      </c>
      <c r="BI38" s="9">
        <v>206</v>
      </c>
      <c r="BJ38">
        <f t="shared" si="9"/>
        <v>7.3783783783783861</v>
      </c>
      <c r="BL38" s="10"/>
      <c r="BM38" s="10"/>
      <c r="BN38" s="7" t="s">
        <v>71</v>
      </c>
      <c r="BO38" s="9">
        <v>157</v>
      </c>
      <c r="BP38">
        <f t="shared" si="10"/>
        <v>41.621621621621614</v>
      </c>
      <c r="BR38" s="10"/>
      <c r="BS38" s="10"/>
      <c r="BT38" s="7" t="s">
        <v>72</v>
      </c>
      <c r="BU38" s="9">
        <v>225</v>
      </c>
      <c r="BV38">
        <f t="shared" si="14"/>
        <v>26.378378378378386</v>
      </c>
      <c r="BX38" s="11" t="s">
        <v>14</v>
      </c>
      <c r="BY38" s="12">
        <v>498</v>
      </c>
      <c r="BZ38" s="11" t="s">
        <v>74</v>
      </c>
      <c r="CA38" s="14">
        <v>147</v>
      </c>
      <c r="CB38" s="15">
        <f t="shared" si="13"/>
        <v>51.621621621621614</v>
      </c>
      <c r="CD38" s="10"/>
      <c r="CE38" s="10"/>
      <c r="CF38" s="7" t="s">
        <v>81</v>
      </c>
      <c r="CG38" s="9">
        <v>206</v>
      </c>
      <c r="CH38">
        <f t="shared" si="5"/>
        <v>7.3783783783783861</v>
      </c>
      <c r="CJ38" s="10"/>
      <c r="CK38" s="10"/>
      <c r="CL38" s="7" t="s">
        <v>83</v>
      </c>
      <c r="CM38" s="9">
        <v>233</v>
      </c>
      <c r="CN38">
        <f t="shared" si="6"/>
        <v>34.378378378378386</v>
      </c>
      <c r="CS38" s="10"/>
      <c r="CT38" s="10"/>
      <c r="CU38" s="7" t="s">
        <v>59</v>
      </c>
      <c r="CV38" s="9">
        <v>180</v>
      </c>
    </row>
    <row r="39" spans="4:100">
      <c r="F39" t="s">
        <v>133</v>
      </c>
      <c r="P39">
        <f t="shared" si="15"/>
        <v>0</v>
      </c>
      <c r="R39" s="10"/>
      <c r="S39" s="10"/>
      <c r="T39" s="7" t="s">
        <v>57</v>
      </c>
      <c r="U39" s="9">
        <v>202</v>
      </c>
      <c r="W39" s="7" t="s">
        <v>12</v>
      </c>
      <c r="X39" s="8">
        <v>192</v>
      </c>
      <c r="Y39" s="7" t="s">
        <v>12</v>
      </c>
      <c r="Z39" s="9">
        <v>192</v>
      </c>
      <c r="AA39">
        <f t="shared" si="8"/>
        <v>6.6216216216216139</v>
      </c>
      <c r="AC39" s="7" t="s">
        <v>13</v>
      </c>
      <c r="AD39" s="8">
        <v>459</v>
      </c>
      <c r="AE39" s="7" t="s">
        <v>60</v>
      </c>
      <c r="AF39" s="9">
        <v>271</v>
      </c>
      <c r="AG39">
        <f t="shared" si="16"/>
        <v>72.378378378378386</v>
      </c>
      <c r="AI39" s="7" t="s">
        <v>25</v>
      </c>
      <c r="AJ39" s="8">
        <v>241</v>
      </c>
      <c r="AK39" s="7" t="s">
        <v>61</v>
      </c>
      <c r="AL39" s="9">
        <v>188</v>
      </c>
      <c r="AM39">
        <f t="shared" si="17"/>
        <v>10.621621621621614</v>
      </c>
      <c r="AO39" s="7" t="s">
        <v>91</v>
      </c>
      <c r="AP39" s="9">
        <v>1243</v>
      </c>
      <c r="AQ39" s="7" t="s">
        <v>63</v>
      </c>
      <c r="AR39" s="9">
        <v>211</v>
      </c>
      <c r="AS39">
        <f t="shared" si="18"/>
        <v>12.378378378378386</v>
      </c>
      <c r="AU39" s="10"/>
      <c r="AV39" s="10"/>
      <c r="AW39" s="7" t="s">
        <v>66</v>
      </c>
      <c r="AX39" s="9">
        <v>204</v>
      </c>
      <c r="AY39">
        <f t="shared" si="19"/>
        <v>5.3783783783783861</v>
      </c>
      <c r="BA39" s="10"/>
      <c r="BB39" s="10"/>
      <c r="BC39" s="7" t="s">
        <v>68</v>
      </c>
      <c r="BD39" s="9">
        <v>198</v>
      </c>
      <c r="BF39" s="10"/>
      <c r="BG39" s="10"/>
      <c r="BH39" s="7" t="s">
        <v>71</v>
      </c>
      <c r="BI39" s="9">
        <v>157</v>
      </c>
      <c r="BJ39">
        <f t="shared" si="9"/>
        <v>41.621621621621614</v>
      </c>
      <c r="BL39" s="10"/>
      <c r="BM39" s="10"/>
      <c r="BN39" s="7" t="s">
        <v>72</v>
      </c>
      <c r="BO39" s="9">
        <v>225</v>
      </c>
      <c r="BP39">
        <f t="shared" si="10"/>
        <v>26.378378378378386</v>
      </c>
      <c r="BR39" s="10"/>
      <c r="BS39" s="10"/>
      <c r="BT39" s="7" t="s">
        <v>73</v>
      </c>
      <c r="BU39" s="9">
        <v>199</v>
      </c>
      <c r="BV39">
        <f t="shared" si="14"/>
        <v>0.37837837837838606</v>
      </c>
      <c r="BX39" s="7" t="s">
        <v>93</v>
      </c>
      <c r="BY39" s="8">
        <v>1609</v>
      </c>
      <c r="BZ39" s="7" t="s">
        <v>76</v>
      </c>
      <c r="CA39" s="9">
        <v>151</v>
      </c>
      <c r="CB39">
        <f t="shared" si="13"/>
        <v>47.621621621621614</v>
      </c>
      <c r="CD39" s="10"/>
      <c r="CE39" s="10"/>
      <c r="CF39" s="7" t="s">
        <v>82</v>
      </c>
      <c r="CG39" s="9">
        <v>178</v>
      </c>
      <c r="CH39">
        <f t="shared" si="5"/>
        <v>20.621621621621614</v>
      </c>
      <c r="CJ39" s="7" t="s">
        <v>15</v>
      </c>
      <c r="CK39" s="8">
        <v>571</v>
      </c>
      <c r="CL39" s="7" t="s">
        <v>84</v>
      </c>
      <c r="CM39" s="9">
        <v>225</v>
      </c>
      <c r="CN39">
        <f t="shared" si="6"/>
        <v>26.378378378378386</v>
      </c>
      <c r="CS39" s="7" t="s">
        <v>12</v>
      </c>
      <c r="CT39" s="8">
        <v>192</v>
      </c>
      <c r="CU39" s="7" t="s">
        <v>12</v>
      </c>
      <c r="CV39" s="9">
        <v>192</v>
      </c>
    </row>
    <row r="40" spans="4:100">
      <c r="F40" t="s">
        <v>134</v>
      </c>
      <c r="G40" s="2">
        <v>215</v>
      </c>
      <c r="P40">
        <f t="shared" si="15"/>
        <v>0</v>
      </c>
      <c r="R40" s="10"/>
      <c r="S40" s="10"/>
      <c r="T40" s="7" t="s">
        <v>58</v>
      </c>
      <c r="U40" s="9">
        <v>213</v>
      </c>
      <c r="W40" s="7" t="s">
        <v>13</v>
      </c>
      <c r="X40" s="8">
        <v>459</v>
      </c>
      <c r="Y40" s="7" t="s">
        <v>60</v>
      </c>
      <c r="Z40" s="9">
        <v>271</v>
      </c>
      <c r="AA40">
        <f t="shared" si="8"/>
        <v>72.378378378378386</v>
      </c>
      <c r="AC40" s="7" t="s">
        <v>25</v>
      </c>
      <c r="AD40" s="8">
        <v>241</v>
      </c>
      <c r="AE40" s="7" t="s">
        <v>61</v>
      </c>
      <c r="AF40" s="9">
        <v>188</v>
      </c>
      <c r="AG40">
        <f t="shared" si="16"/>
        <v>10.621621621621614</v>
      </c>
      <c r="AI40" s="10"/>
      <c r="AJ40" s="10"/>
      <c r="AK40" s="7" t="s">
        <v>25</v>
      </c>
      <c r="AL40" s="9">
        <v>241</v>
      </c>
      <c r="AM40">
        <f t="shared" si="17"/>
        <v>42.378378378378386</v>
      </c>
      <c r="AO40" s="10"/>
      <c r="AP40" s="10"/>
      <c r="AQ40" s="7" t="s">
        <v>65</v>
      </c>
      <c r="AR40" s="9">
        <v>146</v>
      </c>
      <c r="AS40">
        <f t="shared" si="18"/>
        <v>52.621621621621614</v>
      </c>
      <c r="AU40" s="10"/>
      <c r="AV40" s="10"/>
      <c r="AW40" s="7" t="s">
        <v>67</v>
      </c>
      <c r="AX40" s="9">
        <v>177</v>
      </c>
      <c r="AY40">
        <f t="shared" si="19"/>
        <v>21.621621621621614</v>
      </c>
      <c r="BA40" s="7" t="s">
        <v>92</v>
      </c>
      <c r="BB40" s="8">
        <v>1081</v>
      </c>
      <c r="BC40" s="7" t="s">
        <v>69</v>
      </c>
      <c r="BD40" s="9">
        <v>206</v>
      </c>
      <c r="BF40" s="10"/>
      <c r="BG40" s="10"/>
      <c r="BH40" s="7" t="s">
        <v>72</v>
      </c>
      <c r="BI40" s="9">
        <v>225</v>
      </c>
      <c r="BJ40">
        <f t="shared" si="9"/>
        <v>26.378378378378386</v>
      </c>
      <c r="BL40" s="10"/>
      <c r="BM40" s="10"/>
      <c r="BN40" s="7" t="s">
        <v>73</v>
      </c>
      <c r="BO40" s="9">
        <v>199</v>
      </c>
      <c r="BP40">
        <f t="shared" si="10"/>
        <v>0.37837837837838606</v>
      </c>
      <c r="BR40" s="7" t="s">
        <v>14</v>
      </c>
      <c r="BS40" s="8">
        <v>498</v>
      </c>
      <c r="BT40" s="7" t="s">
        <v>74</v>
      </c>
      <c r="BU40" s="9">
        <v>147</v>
      </c>
      <c r="BV40">
        <f t="shared" si="14"/>
        <v>51.621621621621614</v>
      </c>
      <c r="BX40" s="13"/>
      <c r="BY40" s="13"/>
      <c r="BZ40" s="11" t="s">
        <v>77</v>
      </c>
      <c r="CA40" s="14">
        <v>252</v>
      </c>
      <c r="CB40" s="15">
        <f t="shared" si="13"/>
        <v>53.378378378378386</v>
      </c>
      <c r="CD40" s="10"/>
      <c r="CE40" s="10"/>
      <c r="CF40" s="7" t="s">
        <v>83</v>
      </c>
      <c r="CG40" s="9">
        <v>233</v>
      </c>
      <c r="CH40">
        <f t="shared" si="5"/>
        <v>34.378378378378386</v>
      </c>
      <c r="CJ40" s="7" t="s">
        <v>17</v>
      </c>
      <c r="CK40" s="8">
        <v>547</v>
      </c>
      <c r="CL40" s="7" t="s">
        <v>86</v>
      </c>
      <c r="CM40" s="9">
        <v>183</v>
      </c>
      <c r="CN40">
        <f t="shared" si="6"/>
        <v>15.621621621621614</v>
      </c>
      <c r="CS40" s="7" t="s">
        <v>13</v>
      </c>
      <c r="CT40" s="8">
        <v>459</v>
      </c>
      <c r="CU40" s="7" t="s">
        <v>60</v>
      </c>
      <c r="CV40" s="9">
        <v>271</v>
      </c>
    </row>
    <row r="41" spans="4:100">
      <c r="D41" t="s">
        <v>90</v>
      </c>
      <c r="E41">
        <v>1059</v>
      </c>
      <c r="F41" t="s">
        <v>135</v>
      </c>
      <c r="G41" s="2">
        <v>292</v>
      </c>
      <c r="P41">
        <f>IF(M37&gt;$O$4,1,0)</f>
        <v>0</v>
      </c>
      <c r="R41" s="10"/>
      <c r="S41" s="10"/>
      <c r="T41" s="7" t="s">
        <v>59</v>
      </c>
      <c r="U41" s="9">
        <v>180</v>
      </c>
      <c r="W41" s="7" t="s">
        <v>25</v>
      </c>
      <c r="X41" s="8">
        <v>241</v>
      </c>
      <c r="Y41" s="7" t="s">
        <v>61</v>
      </c>
      <c r="Z41" s="9">
        <v>188</v>
      </c>
      <c r="AA41">
        <f t="shared" si="8"/>
        <v>10.621621621621614</v>
      </c>
      <c r="AC41" s="10"/>
      <c r="AD41" s="10"/>
      <c r="AE41" s="7" t="s">
        <v>25</v>
      </c>
      <c r="AF41" s="9">
        <v>241</v>
      </c>
      <c r="AG41">
        <f t="shared" si="16"/>
        <v>42.378378378378386</v>
      </c>
      <c r="AI41" s="7" t="s">
        <v>91</v>
      </c>
      <c r="AJ41" s="9">
        <v>1243</v>
      </c>
      <c r="AK41" s="7" t="s">
        <v>63</v>
      </c>
      <c r="AL41" s="9">
        <v>211</v>
      </c>
      <c r="AM41">
        <f t="shared" si="17"/>
        <v>12.378378378378386</v>
      </c>
      <c r="AO41" s="10"/>
      <c r="AP41" s="10"/>
      <c r="AQ41" s="7" t="s">
        <v>66</v>
      </c>
      <c r="AR41" s="9">
        <v>204</v>
      </c>
      <c r="AS41">
        <f t="shared" si="18"/>
        <v>5.3783783783783861</v>
      </c>
      <c r="AU41" s="10"/>
      <c r="AV41" s="10"/>
      <c r="AW41" s="7" t="s">
        <v>68</v>
      </c>
      <c r="AX41" s="9">
        <v>198</v>
      </c>
      <c r="AY41">
        <f t="shared" si="19"/>
        <v>0.62162162162161394</v>
      </c>
      <c r="BA41" s="10"/>
      <c r="BB41" s="10"/>
      <c r="BC41" s="7" t="s">
        <v>71</v>
      </c>
      <c r="BD41" s="9">
        <v>157</v>
      </c>
      <c r="BF41" s="10"/>
      <c r="BG41" s="10"/>
      <c r="BH41" s="7" t="s">
        <v>73</v>
      </c>
      <c r="BI41" s="9">
        <v>199</v>
      </c>
      <c r="BJ41">
        <f t="shared" si="9"/>
        <v>0.37837837837838606</v>
      </c>
      <c r="BL41" s="7" t="s">
        <v>14</v>
      </c>
      <c r="BM41" s="8">
        <v>498</v>
      </c>
      <c r="BN41" s="7" t="s">
        <v>74</v>
      </c>
      <c r="BO41" s="9">
        <v>147</v>
      </c>
      <c r="BP41">
        <f t="shared" si="10"/>
        <v>51.621621621621614</v>
      </c>
      <c r="BR41" s="7" t="s">
        <v>93</v>
      </c>
      <c r="BS41" s="8">
        <v>1609</v>
      </c>
      <c r="BT41" s="7" t="s">
        <v>76</v>
      </c>
      <c r="BU41" s="9">
        <v>151</v>
      </c>
      <c r="BV41">
        <f t="shared" si="14"/>
        <v>47.621621621621614</v>
      </c>
      <c r="BX41" s="10"/>
      <c r="BY41" s="10"/>
      <c r="BZ41" s="7" t="s">
        <v>80</v>
      </c>
      <c r="CA41" s="9">
        <v>202</v>
      </c>
      <c r="CB41">
        <f t="shared" si="13"/>
        <v>3.3783783783783861</v>
      </c>
      <c r="CD41" s="7" t="s">
        <v>15</v>
      </c>
      <c r="CE41" s="8">
        <v>571</v>
      </c>
      <c r="CF41" s="7" t="s">
        <v>84</v>
      </c>
      <c r="CG41" s="9">
        <v>225</v>
      </c>
      <c r="CH41">
        <f t="shared" si="5"/>
        <v>26.378378378378386</v>
      </c>
      <c r="CS41" s="7" t="s">
        <v>25</v>
      </c>
      <c r="CT41" s="8">
        <v>241</v>
      </c>
      <c r="CU41" s="7" t="s">
        <v>61</v>
      </c>
      <c r="CV41" s="9">
        <v>188</v>
      </c>
    </row>
    <row r="42" spans="4:100">
      <c r="F42" s="1" t="s">
        <v>136</v>
      </c>
      <c r="G42" s="2">
        <v>210</v>
      </c>
      <c r="P42">
        <f>IF(M38&gt;$O$4,1,0)</f>
        <v>0</v>
      </c>
      <c r="R42" s="11" t="s">
        <v>11</v>
      </c>
      <c r="S42" s="12">
        <v>61</v>
      </c>
      <c r="T42" s="11" t="s">
        <v>11</v>
      </c>
      <c r="U42" s="12">
        <v>61</v>
      </c>
      <c r="W42" s="10"/>
      <c r="X42" s="10"/>
      <c r="Y42" s="7" t="s">
        <v>25</v>
      </c>
      <c r="Z42" s="9">
        <v>241</v>
      </c>
      <c r="AA42">
        <f t="shared" si="8"/>
        <v>42.378378378378386</v>
      </c>
      <c r="AC42" s="7" t="s">
        <v>91</v>
      </c>
      <c r="AD42" s="9">
        <v>1243</v>
      </c>
      <c r="AE42" s="7" t="s">
        <v>63</v>
      </c>
      <c r="AF42" s="9">
        <v>211</v>
      </c>
      <c r="AG42">
        <f t="shared" si="16"/>
        <v>12.378378378378386</v>
      </c>
      <c r="AI42" s="13"/>
      <c r="AJ42" s="13"/>
      <c r="AK42" s="11" t="s">
        <v>64</v>
      </c>
      <c r="AL42" s="14">
        <v>307</v>
      </c>
      <c r="AM42" s="15">
        <f t="shared" si="17"/>
        <v>108.37837837837839</v>
      </c>
      <c r="AO42" s="10"/>
      <c r="AP42" s="10"/>
      <c r="AQ42" s="7" t="s">
        <v>67</v>
      </c>
      <c r="AR42" s="9">
        <v>177</v>
      </c>
      <c r="AS42">
        <f t="shared" si="18"/>
        <v>21.621621621621614</v>
      </c>
      <c r="AU42" s="7" t="s">
        <v>92</v>
      </c>
      <c r="AV42" s="8">
        <v>1081</v>
      </c>
      <c r="AW42" s="7" t="s">
        <v>69</v>
      </c>
      <c r="AX42" s="9">
        <v>206</v>
      </c>
      <c r="AY42">
        <f t="shared" si="19"/>
        <v>7.3783783783783861</v>
      </c>
      <c r="BA42" s="10"/>
      <c r="BB42" s="10"/>
      <c r="BC42" s="7" t="s">
        <v>72</v>
      </c>
      <c r="BD42" s="9">
        <v>225</v>
      </c>
      <c r="BF42" s="7" t="s">
        <v>14</v>
      </c>
      <c r="BG42" s="8">
        <v>498</v>
      </c>
      <c r="BH42" s="7" t="s">
        <v>74</v>
      </c>
      <c r="BI42" s="9">
        <v>147</v>
      </c>
      <c r="BJ42">
        <f t="shared" si="9"/>
        <v>51.621621621621614</v>
      </c>
      <c r="BL42" s="7" t="s">
        <v>93</v>
      </c>
      <c r="BM42" s="8">
        <v>1609</v>
      </c>
      <c r="BN42" s="7" t="s">
        <v>76</v>
      </c>
      <c r="BO42" s="9">
        <v>151</v>
      </c>
      <c r="BP42">
        <f t="shared" si="10"/>
        <v>47.621621621621614</v>
      </c>
      <c r="BR42" s="10"/>
      <c r="BS42" s="10"/>
      <c r="BT42" s="7" t="s">
        <v>77</v>
      </c>
      <c r="BU42" s="9">
        <v>252</v>
      </c>
      <c r="BV42">
        <f t="shared" si="14"/>
        <v>53.378378378378386</v>
      </c>
      <c r="BX42" s="10"/>
      <c r="BY42" s="10"/>
      <c r="BZ42" s="7" t="s">
        <v>81</v>
      </c>
      <c r="CA42" s="9">
        <v>206</v>
      </c>
      <c r="CB42">
        <f t="shared" si="13"/>
        <v>7.3783783783783861</v>
      </c>
      <c r="CD42" s="7" t="s">
        <v>17</v>
      </c>
      <c r="CE42" s="8">
        <v>547</v>
      </c>
      <c r="CF42" s="7" t="s">
        <v>86</v>
      </c>
      <c r="CG42" s="9">
        <v>183</v>
      </c>
      <c r="CH42">
        <f t="shared" si="5"/>
        <v>15.621621621621614</v>
      </c>
      <c r="CS42" s="10"/>
      <c r="CT42" s="10"/>
      <c r="CU42" s="7" t="s">
        <v>25</v>
      </c>
      <c r="CV42" s="9">
        <v>241</v>
      </c>
    </row>
    <row r="43" spans="4:100">
      <c r="F43" t="s">
        <v>137</v>
      </c>
      <c r="P43">
        <f>IF(M35&gt;$O$4,1,0)</f>
        <v>0</v>
      </c>
      <c r="R43" s="7" t="s">
        <v>12</v>
      </c>
      <c r="S43" s="8">
        <v>192</v>
      </c>
      <c r="T43" s="7" t="s">
        <v>12</v>
      </c>
      <c r="U43" s="9">
        <v>192</v>
      </c>
      <c r="W43" s="7" t="s">
        <v>91</v>
      </c>
      <c r="X43" s="9">
        <v>1243</v>
      </c>
      <c r="Y43" s="7" t="s">
        <v>63</v>
      </c>
      <c r="Z43" s="9">
        <v>211</v>
      </c>
      <c r="AA43">
        <f t="shared" si="8"/>
        <v>12.378378378378386</v>
      </c>
      <c r="AC43" s="10"/>
      <c r="AD43" s="10"/>
      <c r="AE43" s="7" t="s">
        <v>64</v>
      </c>
      <c r="AF43" s="9">
        <v>307</v>
      </c>
      <c r="AG43">
        <f t="shared" si="16"/>
        <v>108.37837837837839</v>
      </c>
      <c r="AI43" s="10"/>
      <c r="AJ43" s="10"/>
      <c r="AK43" s="7" t="s">
        <v>65</v>
      </c>
      <c r="AL43" s="9">
        <v>146</v>
      </c>
      <c r="AM43">
        <f t="shared" si="17"/>
        <v>52.621621621621614</v>
      </c>
      <c r="AO43" s="10"/>
      <c r="AP43" s="10"/>
      <c r="AQ43" s="7" t="s">
        <v>68</v>
      </c>
      <c r="AR43" s="9">
        <v>198</v>
      </c>
      <c r="AS43">
        <f t="shared" si="18"/>
        <v>0.62162162162161394</v>
      </c>
      <c r="AU43" s="10"/>
      <c r="AV43" s="10"/>
      <c r="AW43" s="7" t="s">
        <v>71</v>
      </c>
      <c r="AX43" s="9">
        <v>157</v>
      </c>
      <c r="AY43">
        <f t="shared" si="19"/>
        <v>41.621621621621614</v>
      </c>
      <c r="BA43" s="10"/>
      <c r="BB43" s="10"/>
      <c r="BC43" s="7" t="s">
        <v>73</v>
      </c>
      <c r="BD43" s="9">
        <v>199</v>
      </c>
      <c r="BF43" s="7" t="s">
        <v>93</v>
      </c>
      <c r="BG43" s="8">
        <v>1609</v>
      </c>
      <c r="BH43" s="7" t="s">
        <v>76</v>
      </c>
      <c r="BI43" s="9">
        <v>151</v>
      </c>
      <c r="BJ43">
        <f t="shared" si="9"/>
        <v>47.621621621621614</v>
      </c>
      <c r="BL43" s="10"/>
      <c r="BM43" s="10"/>
      <c r="BN43" s="7" t="s">
        <v>77</v>
      </c>
      <c r="BO43" s="9">
        <v>252</v>
      </c>
      <c r="BP43">
        <f t="shared" si="10"/>
        <v>53.378378378378386</v>
      </c>
      <c r="BR43" s="10"/>
      <c r="BS43" s="10"/>
      <c r="BT43" s="7" t="s">
        <v>80</v>
      </c>
      <c r="BU43" s="9">
        <v>202</v>
      </c>
      <c r="BV43">
        <f t="shared" si="14"/>
        <v>3.3783783783783861</v>
      </c>
      <c r="BX43" s="10"/>
      <c r="BY43" s="10"/>
      <c r="BZ43" s="7" t="s">
        <v>82</v>
      </c>
      <c r="CA43" s="9">
        <v>178</v>
      </c>
      <c r="CB43">
        <f t="shared" si="13"/>
        <v>20.621621621621614</v>
      </c>
      <c r="CS43" s="7" t="s">
        <v>91</v>
      </c>
      <c r="CT43" s="9">
        <v>1243</v>
      </c>
      <c r="CU43" s="7" t="s">
        <v>63</v>
      </c>
      <c r="CV43" s="9">
        <v>211</v>
      </c>
    </row>
    <row r="44" spans="4:100">
      <c r="F44" t="s">
        <v>52</v>
      </c>
      <c r="G44" s="2">
        <v>190</v>
      </c>
      <c r="P44">
        <f>IF(M36&gt;$O$4,1,0)</f>
        <v>0</v>
      </c>
      <c r="R44" s="7" t="s">
        <v>13</v>
      </c>
      <c r="S44" s="8">
        <v>459</v>
      </c>
      <c r="T44" s="7" t="s">
        <v>60</v>
      </c>
      <c r="U44" s="9">
        <v>271</v>
      </c>
      <c r="W44" s="10"/>
      <c r="X44" s="10"/>
      <c r="Y44" s="7" t="s">
        <v>64</v>
      </c>
      <c r="Z44" s="9">
        <v>307</v>
      </c>
      <c r="AA44">
        <f t="shared" si="8"/>
        <v>108.37837837837839</v>
      </c>
      <c r="AC44" s="10"/>
      <c r="AD44" s="10"/>
      <c r="AE44" s="7" t="s">
        <v>65</v>
      </c>
      <c r="AF44" s="9">
        <v>146</v>
      </c>
      <c r="AG44">
        <f t="shared" si="16"/>
        <v>52.621621621621614</v>
      </c>
      <c r="AI44" s="10"/>
      <c r="AJ44" s="10"/>
      <c r="AK44" s="7" t="s">
        <v>66</v>
      </c>
      <c r="AL44" s="9">
        <v>204</v>
      </c>
      <c r="AM44">
        <f t="shared" si="17"/>
        <v>5.3783783783783861</v>
      </c>
      <c r="AO44" s="7" t="s">
        <v>92</v>
      </c>
      <c r="AP44" s="8">
        <v>1081</v>
      </c>
      <c r="AQ44" s="7" t="s">
        <v>69</v>
      </c>
      <c r="AR44" s="9">
        <v>206</v>
      </c>
      <c r="AS44">
        <f t="shared" si="18"/>
        <v>7.3783783783783861</v>
      </c>
      <c r="AU44" s="10"/>
      <c r="AV44" s="10"/>
      <c r="AW44" s="7" t="s">
        <v>72</v>
      </c>
      <c r="AX44" s="9">
        <v>225</v>
      </c>
      <c r="AY44">
        <f t="shared" si="19"/>
        <v>26.378378378378386</v>
      </c>
      <c r="BA44" s="7" t="s">
        <v>14</v>
      </c>
      <c r="BB44" s="8">
        <v>498</v>
      </c>
      <c r="BC44" s="7" t="s">
        <v>74</v>
      </c>
      <c r="BD44" s="9">
        <v>147</v>
      </c>
      <c r="BF44" s="10"/>
      <c r="BG44" s="10"/>
      <c r="BH44" s="7" t="s">
        <v>77</v>
      </c>
      <c r="BI44" s="9">
        <v>252</v>
      </c>
      <c r="BJ44">
        <f t="shared" si="9"/>
        <v>53.378378378378386</v>
      </c>
      <c r="BL44" s="13"/>
      <c r="BM44" s="13"/>
      <c r="BN44" s="11" t="s">
        <v>79</v>
      </c>
      <c r="BO44" s="14">
        <v>262</v>
      </c>
      <c r="BP44" s="15">
        <f t="shared" si="10"/>
        <v>63.378378378378386</v>
      </c>
      <c r="BR44" s="10"/>
      <c r="BS44" s="10"/>
      <c r="BT44" s="7" t="s">
        <v>81</v>
      </c>
      <c r="BU44" s="9">
        <v>206</v>
      </c>
      <c r="BV44">
        <f t="shared" si="14"/>
        <v>7.3783783783783861</v>
      </c>
      <c r="BX44" s="10"/>
      <c r="BY44" s="10"/>
      <c r="BZ44" s="7" t="s">
        <v>83</v>
      </c>
      <c r="CA44" s="9">
        <v>233</v>
      </c>
      <c r="CB44">
        <f t="shared" si="13"/>
        <v>34.378378378378386</v>
      </c>
      <c r="CS44" s="10"/>
      <c r="CT44" s="10"/>
      <c r="CU44" s="7" t="s">
        <v>64</v>
      </c>
      <c r="CV44" s="9">
        <v>307</v>
      </c>
    </row>
    <row r="45" spans="4:100">
      <c r="F45" t="s">
        <v>53</v>
      </c>
      <c r="G45" s="2">
        <v>172</v>
      </c>
      <c r="P45">
        <f>IF(M37&gt;$O$4,1,0)</f>
        <v>0</v>
      </c>
      <c r="R45" s="7" t="s">
        <v>25</v>
      </c>
      <c r="S45" s="8">
        <v>241</v>
      </c>
      <c r="T45" s="7" t="s">
        <v>61</v>
      </c>
      <c r="U45" s="9">
        <v>188</v>
      </c>
      <c r="W45" s="10"/>
      <c r="X45" s="10"/>
      <c r="Y45" s="7" t="s">
        <v>65</v>
      </c>
      <c r="Z45" s="9">
        <v>146</v>
      </c>
      <c r="AA45">
        <f t="shared" si="8"/>
        <v>52.621621621621614</v>
      </c>
      <c r="AC45" s="10"/>
      <c r="AD45" s="10"/>
      <c r="AE45" s="7" t="s">
        <v>66</v>
      </c>
      <c r="AF45" s="9">
        <v>204</v>
      </c>
      <c r="AG45">
        <f t="shared" si="16"/>
        <v>5.3783783783783861</v>
      </c>
      <c r="AI45" s="10"/>
      <c r="AJ45" s="10"/>
      <c r="AK45" s="7" t="s">
        <v>67</v>
      </c>
      <c r="AL45" s="9">
        <v>177</v>
      </c>
      <c r="AM45">
        <f t="shared" si="17"/>
        <v>21.621621621621614</v>
      </c>
      <c r="AO45" s="13"/>
      <c r="AP45" s="13"/>
      <c r="AQ45" s="11" t="s">
        <v>70</v>
      </c>
      <c r="AR45" s="14">
        <v>294</v>
      </c>
      <c r="AS45" s="15">
        <f t="shared" si="18"/>
        <v>95.378378378378386</v>
      </c>
      <c r="AU45" s="10"/>
      <c r="AV45" s="10"/>
      <c r="AW45" s="7" t="s">
        <v>73</v>
      </c>
      <c r="AX45" s="9">
        <v>199</v>
      </c>
      <c r="AY45">
        <f t="shared" si="19"/>
        <v>0.37837837837838606</v>
      </c>
      <c r="BA45" s="7" t="s">
        <v>93</v>
      </c>
      <c r="BB45" s="8">
        <v>1609</v>
      </c>
      <c r="BC45" s="7" t="s">
        <v>76</v>
      </c>
      <c r="BD45" s="9">
        <v>151</v>
      </c>
      <c r="BF45" s="10"/>
      <c r="BG45" s="10"/>
      <c r="BH45" s="7" t="s">
        <v>79</v>
      </c>
      <c r="BI45" s="9">
        <v>262</v>
      </c>
      <c r="BJ45">
        <f t="shared" si="9"/>
        <v>63.378378378378386</v>
      </c>
      <c r="BL45" s="10"/>
      <c r="BM45" s="10"/>
      <c r="BN45" s="7" t="s">
        <v>80</v>
      </c>
      <c r="BO45" s="9">
        <v>202</v>
      </c>
      <c r="BP45">
        <f t="shared" si="10"/>
        <v>3.3783783783783861</v>
      </c>
      <c r="BR45" s="10"/>
      <c r="BS45" s="10"/>
      <c r="BT45" s="7" t="s">
        <v>82</v>
      </c>
      <c r="BU45" s="9">
        <v>178</v>
      </c>
      <c r="BV45">
        <f t="shared" si="14"/>
        <v>20.621621621621614</v>
      </c>
      <c r="BX45" s="7" t="s">
        <v>15</v>
      </c>
      <c r="BY45" s="8">
        <v>571</v>
      </c>
      <c r="BZ45" s="7" t="s">
        <v>84</v>
      </c>
      <c r="CA45" s="9">
        <v>225</v>
      </c>
      <c r="CB45">
        <f t="shared" si="13"/>
        <v>26.378378378378386</v>
      </c>
      <c r="CS45" s="10"/>
      <c r="CT45" s="10"/>
      <c r="CU45" s="7" t="s">
        <v>65</v>
      </c>
      <c r="CV45" s="9">
        <v>146</v>
      </c>
    </row>
    <row r="46" spans="4:100">
      <c r="F46" t="s">
        <v>54</v>
      </c>
      <c r="G46" s="2">
        <v>195</v>
      </c>
      <c r="P46">
        <f>IF(M38&gt;$O$4,1,0)</f>
        <v>0</v>
      </c>
      <c r="R46" s="10"/>
      <c r="S46" s="10"/>
      <c r="T46" s="7" t="s">
        <v>25</v>
      </c>
      <c r="U46" s="9">
        <v>241</v>
      </c>
      <c r="W46" s="10"/>
      <c r="X46" s="10"/>
      <c r="Y46" s="7" t="s">
        <v>66</v>
      </c>
      <c r="Z46" s="9">
        <v>204</v>
      </c>
      <c r="AA46">
        <f t="shared" si="8"/>
        <v>5.3783783783783861</v>
      </c>
      <c r="AC46" s="10"/>
      <c r="AD46" s="10"/>
      <c r="AE46" s="7" t="s">
        <v>67</v>
      </c>
      <c r="AF46" s="9">
        <v>177</v>
      </c>
      <c r="AG46">
        <f t="shared" si="16"/>
        <v>21.621621621621614</v>
      </c>
      <c r="AI46" s="10"/>
      <c r="AJ46" s="10"/>
      <c r="AK46" s="7" t="s">
        <v>68</v>
      </c>
      <c r="AL46" s="9">
        <v>198</v>
      </c>
      <c r="AM46">
        <f t="shared" si="17"/>
        <v>0.62162162162161394</v>
      </c>
      <c r="AO46" s="10"/>
      <c r="AP46" s="10"/>
      <c r="AQ46" s="7" t="s">
        <v>71</v>
      </c>
      <c r="AR46" s="9">
        <v>157</v>
      </c>
      <c r="AS46">
        <f t="shared" si="18"/>
        <v>41.621621621621614</v>
      </c>
      <c r="AU46" s="7" t="s">
        <v>14</v>
      </c>
      <c r="AV46" s="8">
        <v>498</v>
      </c>
      <c r="AW46" s="7" t="s">
        <v>74</v>
      </c>
      <c r="AX46" s="9">
        <v>147</v>
      </c>
      <c r="AY46">
        <f t="shared" si="19"/>
        <v>51.621621621621614</v>
      </c>
      <c r="BA46" s="10"/>
      <c r="BB46" s="10"/>
      <c r="BC46" s="7" t="s">
        <v>77</v>
      </c>
      <c r="BD46" s="9">
        <v>252</v>
      </c>
      <c r="BF46" s="10"/>
      <c r="BG46" s="10"/>
      <c r="BH46" s="7" t="s">
        <v>80</v>
      </c>
      <c r="BI46" s="9">
        <v>202</v>
      </c>
      <c r="BJ46">
        <f t="shared" si="9"/>
        <v>3.3783783783783861</v>
      </c>
      <c r="BL46" s="10"/>
      <c r="BM46" s="10"/>
      <c r="BN46" s="7" t="s">
        <v>81</v>
      </c>
      <c r="BO46" s="9">
        <v>206</v>
      </c>
      <c r="BP46">
        <f t="shared" si="10"/>
        <v>7.3783783783783861</v>
      </c>
      <c r="BR46" s="10"/>
      <c r="BS46" s="10"/>
      <c r="BT46" s="7" t="s">
        <v>83</v>
      </c>
      <c r="BU46" s="9">
        <v>233</v>
      </c>
      <c r="BV46">
        <f t="shared" si="14"/>
        <v>34.378378378378386</v>
      </c>
      <c r="BX46" s="7" t="s">
        <v>17</v>
      </c>
      <c r="BY46" s="8">
        <v>547</v>
      </c>
      <c r="BZ46" s="7" t="s">
        <v>86</v>
      </c>
      <c r="CA46" s="9">
        <v>183</v>
      </c>
      <c r="CB46">
        <f t="shared" si="13"/>
        <v>15.621621621621614</v>
      </c>
      <c r="CS46" s="10"/>
      <c r="CT46" s="10"/>
      <c r="CU46" s="7" t="s">
        <v>66</v>
      </c>
      <c r="CV46" s="9">
        <v>204</v>
      </c>
    </row>
    <row r="47" spans="4:100">
      <c r="D47" t="s">
        <v>7</v>
      </c>
      <c r="E47">
        <v>282</v>
      </c>
      <c r="F47" t="s">
        <v>138</v>
      </c>
      <c r="G47" s="2">
        <v>282</v>
      </c>
      <c r="P47">
        <f>IF(M37&gt;$O$4,1,0)</f>
        <v>0</v>
      </c>
      <c r="R47" s="7" t="s">
        <v>91</v>
      </c>
      <c r="S47" s="9">
        <v>1243</v>
      </c>
      <c r="T47" s="7" t="s">
        <v>63</v>
      </c>
      <c r="U47" s="9">
        <v>211</v>
      </c>
      <c r="W47" s="10"/>
      <c r="X47" s="10"/>
      <c r="Y47" s="7" t="s">
        <v>67</v>
      </c>
      <c r="Z47" s="9">
        <v>177</v>
      </c>
      <c r="AA47">
        <f t="shared" si="8"/>
        <v>21.621621621621614</v>
      </c>
      <c r="AC47" s="10"/>
      <c r="AD47" s="10"/>
      <c r="AE47" s="7" t="s">
        <v>68</v>
      </c>
      <c r="AF47" s="9">
        <v>198</v>
      </c>
      <c r="AG47">
        <f t="shared" si="16"/>
        <v>0.62162162162161394</v>
      </c>
      <c r="AI47" s="7" t="s">
        <v>92</v>
      </c>
      <c r="AJ47" s="8">
        <v>1081</v>
      </c>
      <c r="AK47" s="7" t="s">
        <v>69</v>
      </c>
      <c r="AL47" s="9">
        <v>206</v>
      </c>
      <c r="AM47">
        <f t="shared" si="17"/>
        <v>7.3783783783783861</v>
      </c>
      <c r="AO47" s="10"/>
      <c r="AP47" s="10"/>
      <c r="AQ47" s="7" t="s">
        <v>72</v>
      </c>
      <c r="AR47" s="9">
        <v>225</v>
      </c>
      <c r="AS47">
        <f t="shared" si="18"/>
        <v>26.378378378378386</v>
      </c>
      <c r="AU47" s="7" t="s">
        <v>93</v>
      </c>
      <c r="AV47" s="8">
        <v>1609</v>
      </c>
      <c r="AW47" s="7" t="s">
        <v>76</v>
      </c>
      <c r="AX47" s="9">
        <v>151</v>
      </c>
      <c r="AY47">
        <f t="shared" si="19"/>
        <v>47.621621621621614</v>
      </c>
      <c r="BA47" s="10"/>
      <c r="BB47" s="10"/>
      <c r="BC47" s="7" t="s">
        <v>79</v>
      </c>
      <c r="BD47" s="9">
        <v>262</v>
      </c>
      <c r="BF47" s="10"/>
      <c r="BG47" s="10"/>
      <c r="BH47" s="7" t="s">
        <v>81</v>
      </c>
      <c r="BI47" s="9">
        <v>206</v>
      </c>
      <c r="BJ47">
        <f t="shared" si="9"/>
        <v>7.3783783783783861</v>
      </c>
      <c r="BL47" s="10"/>
      <c r="BM47" s="10"/>
      <c r="BN47" s="7" t="s">
        <v>82</v>
      </c>
      <c r="BO47" s="9">
        <v>178</v>
      </c>
      <c r="BP47">
        <f t="shared" si="10"/>
        <v>20.621621621621614</v>
      </c>
      <c r="BR47" s="7" t="s">
        <v>15</v>
      </c>
      <c r="BS47" s="8">
        <v>571</v>
      </c>
      <c r="BT47" s="7" t="s">
        <v>84</v>
      </c>
      <c r="BU47" s="9">
        <v>225</v>
      </c>
      <c r="BV47">
        <f t="shared" si="14"/>
        <v>26.378378378378386</v>
      </c>
      <c r="CS47" s="10"/>
      <c r="CT47" s="10"/>
      <c r="CU47" s="7" t="s">
        <v>67</v>
      </c>
      <c r="CV47" s="9">
        <v>177</v>
      </c>
    </row>
    <row r="48" spans="4:100">
      <c r="F48" t="s">
        <v>139</v>
      </c>
      <c r="P48">
        <f>IF(M38&gt;$O$4,1,0)</f>
        <v>0</v>
      </c>
      <c r="R48" s="10"/>
      <c r="S48" s="10"/>
      <c r="T48" s="7" t="s">
        <v>64</v>
      </c>
      <c r="U48" s="9">
        <v>307</v>
      </c>
      <c r="W48" s="10"/>
      <c r="X48" s="10"/>
      <c r="Y48" s="7" t="s">
        <v>68</v>
      </c>
      <c r="Z48" s="9">
        <v>198</v>
      </c>
      <c r="AA48">
        <f t="shared" si="8"/>
        <v>0.62162162162161394</v>
      </c>
      <c r="AC48" s="7" t="s">
        <v>92</v>
      </c>
      <c r="AD48" s="8">
        <v>1081</v>
      </c>
      <c r="AE48" s="7" t="s">
        <v>69</v>
      </c>
      <c r="AF48" s="9">
        <v>206</v>
      </c>
      <c r="AG48">
        <f t="shared" si="16"/>
        <v>7.3783783783783861</v>
      </c>
      <c r="AI48" s="10"/>
      <c r="AJ48" s="10"/>
      <c r="AK48" s="7" t="s">
        <v>70</v>
      </c>
      <c r="AL48" s="9">
        <v>294</v>
      </c>
      <c r="AM48">
        <f t="shared" si="17"/>
        <v>95.378378378378386</v>
      </c>
      <c r="AO48" s="10"/>
      <c r="AP48" s="10"/>
      <c r="AQ48" s="7" t="s">
        <v>73</v>
      </c>
      <c r="AR48" s="9">
        <v>199</v>
      </c>
      <c r="AS48">
        <f t="shared" si="18"/>
        <v>0.37837837837838606</v>
      </c>
      <c r="AU48" s="10"/>
      <c r="AV48" s="10"/>
      <c r="AW48" s="7" t="s">
        <v>77</v>
      </c>
      <c r="AX48" s="9">
        <v>252</v>
      </c>
      <c r="AY48">
        <f t="shared" si="19"/>
        <v>53.378378378378386</v>
      </c>
      <c r="BA48" s="10"/>
      <c r="BB48" s="10"/>
      <c r="BC48" s="7" t="s">
        <v>80</v>
      </c>
      <c r="BD48" s="9">
        <v>202</v>
      </c>
      <c r="BF48" s="10"/>
      <c r="BG48" s="10"/>
      <c r="BH48" s="7" t="s">
        <v>82</v>
      </c>
      <c r="BI48" s="9">
        <v>178</v>
      </c>
      <c r="BJ48">
        <f t="shared" si="9"/>
        <v>20.621621621621614</v>
      </c>
      <c r="BL48" s="10"/>
      <c r="BM48" s="10"/>
      <c r="BN48" s="7" t="s">
        <v>83</v>
      </c>
      <c r="BO48" s="9">
        <v>233</v>
      </c>
      <c r="BP48">
        <f t="shared" si="10"/>
        <v>34.378378378378386</v>
      </c>
      <c r="BR48" s="7" t="s">
        <v>17</v>
      </c>
      <c r="BS48" s="8">
        <v>547</v>
      </c>
      <c r="BT48" s="7" t="s">
        <v>86</v>
      </c>
      <c r="BU48" s="9">
        <v>183</v>
      </c>
      <c r="BV48">
        <f t="shared" si="14"/>
        <v>15.621621621621614</v>
      </c>
      <c r="CS48" s="10"/>
      <c r="CT48" s="10"/>
      <c r="CU48" s="7" t="s">
        <v>68</v>
      </c>
      <c r="CV48" s="9">
        <v>198</v>
      </c>
    </row>
    <row r="49" spans="4:100">
      <c r="D49" t="s">
        <v>8</v>
      </c>
      <c r="E49">
        <v>46</v>
      </c>
      <c r="F49" t="s">
        <v>8</v>
      </c>
      <c r="G49" s="2">
        <v>46</v>
      </c>
      <c r="P49">
        <f>IF(M37&gt;$O$4,1,0)</f>
        <v>0</v>
      </c>
      <c r="R49" s="10"/>
      <c r="S49" s="10"/>
      <c r="T49" s="7" t="s">
        <v>65</v>
      </c>
      <c r="U49" s="9">
        <v>146</v>
      </c>
      <c r="W49" s="7" t="s">
        <v>92</v>
      </c>
      <c r="X49" s="8">
        <v>1081</v>
      </c>
      <c r="Y49" s="7" t="s">
        <v>69</v>
      </c>
      <c r="Z49" s="9">
        <v>206</v>
      </c>
      <c r="AA49">
        <f t="shared" si="8"/>
        <v>7.3783783783783861</v>
      </c>
      <c r="AC49" s="10"/>
      <c r="AD49" s="10"/>
      <c r="AE49" s="7" t="s">
        <v>70</v>
      </c>
      <c r="AF49" s="9">
        <v>294</v>
      </c>
      <c r="AG49">
        <f t="shared" si="16"/>
        <v>95.378378378378386</v>
      </c>
      <c r="AI49" s="10"/>
      <c r="AJ49" s="10"/>
      <c r="AK49" s="7" t="s">
        <v>71</v>
      </c>
      <c r="AL49" s="9">
        <v>157</v>
      </c>
      <c r="AM49">
        <f t="shared" si="17"/>
        <v>41.621621621621614</v>
      </c>
      <c r="AO49" s="7" t="s">
        <v>14</v>
      </c>
      <c r="AP49" s="8">
        <v>498</v>
      </c>
      <c r="AQ49" s="7" t="s">
        <v>74</v>
      </c>
      <c r="AR49" s="9">
        <v>147</v>
      </c>
      <c r="AS49">
        <f t="shared" si="18"/>
        <v>51.621621621621614</v>
      </c>
      <c r="AU49" s="10"/>
      <c r="AV49" s="10"/>
      <c r="AW49" s="7" t="s">
        <v>79</v>
      </c>
      <c r="AX49" s="9">
        <v>262</v>
      </c>
      <c r="AY49">
        <f t="shared" si="19"/>
        <v>63.378378378378386</v>
      </c>
      <c r="BA49" s="10"/>
      <c r="BB49" s="10"/>
      <c r="BC49" s="7" t="s">
        <v>81</v>
      </c>
      <c r="BD49" s="9">
        <v>206</v>
      </c>
      <c r="BF49" s="10"/>
      <c r="BG49" s="10"/>
      <c r="BH49" s="7" t="s">
        <v>83</v>
      </c>
      <c r="BI49" s="9">
        <v>233</v>
      </c>
      <c r="BJ49">
        <f t="shared" si="9"/>
        <v>34.378378378378386</v>
      </c>
      <c r="BL49" s="7" t="s">
        <v>15</v>
      </c>
      <c r="BM49" s="8">
        <v>571</v>
      </c>
      <c r="BN49" s="7" t="s">
        <v>84</v>
      </c>
      <c r="BO49" s="9">
        <v>225</v>
      </c>
      <c r="BP49">
        <f t="shared" si="10"/>
        <v>26.378378378378386</v>
      </c>
      <c r="CS49" s="7" t="s">
        <v>92</v>
      </c>
      <c r="CT49" s="8">
        <v>1081</v>
      </c>
      <c r="CU49" s="7" t="s">
        <v>69</v>
      </c>
      <c r="CV49" s="9">
        <v>206</v>
      </c>
    </row>
    <row r="50" spans="4:100">
      <c r="D50" t="s">
        <v>10</v>
      </c>
      <c r="E50">
        <v>884</v>
      </c>
      <c r="F50" t="s">
        <v>55</v>
      </c>
      <c r="G50" s="2">
        <v>166</v>
      </c>
      <c r="P50">
        <f>IF(M38&gt;$O$4,1,0)</f>
        <v>0</v>
      </c>
      <c r="R50" s="10"/>
      <c r="S50" s="10"/>
      <c r="T50" s="7" t="s">
        <v>66</v>
      </c>
      <c r="U50" s="9">
        <v>204</v>
      </c>
      <c r="W50" s="10"/>
      <c r="X50" s="10"/>
      <c r="Y50" s="7" t="s">
        <v>70</v>
      </c>
      <c r="Z50" s="9">
        <v>294</v>
      </c>
      <c r="AA50">
        <f t="shared" si="8"/>
        <v>95.378378378378386</v>
      </c>
      <c r="AC50" s="10"/>
      <c r="AD50" s="10"/>
      <c r="AE50" s="7" t="s">
        <v>71</v>
      </c>
      <c r="AF50" s="9">
        <v>157</v>
      </c>
      <c r="AG50">
        <f t="shared" si="16"/>
        <v>41.621621621621614</v>
      </c>
      <c r="AI50" s="10"/>
      <c r="AJ50" s="10"/>
      <c r="AK50" s="7" t="s">
        <v>72</v>
      </c>
      <c r="AL50" s="9">
        <v>225</v>
      </c>
      <c r="AM50">
        <f t="shared" si="17"/>
        <v>26.378378378378386</v>
      </c>
      <c r="AO50" s="7" t="s">
        <v>93</v>
      </c>
      <c r="AP50" s="8">
        <v>1609</v>
      </c>
      <c r="AQ50" s="7" t="s">
        <v>76</v>
      </c>
      <c r="AR50" s="9">
        <v>151</v>
      </c>
      <c r="AS50">
        <f t="shared" si="18"/>
        <v>47.621621621621614</v>
      </c>
      <c r="AU50" s="10"/>
      <c r="AV50" s="10"/>
      <c r="AW50" s="7" t="s">
        <v>80</v>
      </c>
      <c r="AX50" s="9">
        <v>202</v>
      </c>
      <c r="AY50">
        <f t="shared" si="19"/>
        <v>3.3783783783783861</v>
      </c>
      <c r="BA50" s="10"/>
      <c r="BB50" s="10"/>
      <c r="BC50" s="7" t="s">
        <v>82</v>
      </c>
      <c r="BD50" s="9">
        <v>178</v>
      </c>
      <c r="BF50" s="7" t="s">
        <v>15</v>
      </c>
      <c r="BG50" s="8">
        <v>571</v>
      </c>
      <c r="BH50" s="7" t="s">
        <v>84</v>
      </c>
      <c r="BI50" s="9">
        <v>225</v>
      </c>
      <c r="BJ50">
        <f t="shared" si="9"/>
        <v>26.378378378378386</v>
      </c>
      <c r="BL50" s="7" t="s">
        <v>17</v>
      </c>
      <c r="BM50" s="8">
        <v>547</v>
      </c>
      <c r="BN50" s="7" t="s">
        <v>86</v>
      </c>
      <c r="BO50" s="9">
        <v>183</v>
      </c>
      <c r="BP50">
        <f t="shared" si="10"/>
        <v>15.621621621621614</v>
      </c>
      <c r="CS50" s="10"/>
      <c r="CT50" s="10"/>
      <c r="CU50" s="7" t="s">
        <v>70</v>
      </c>
      <c r="CV50" s="9">
        <v>294</v>
      </c>
    </row>
    <row r="51" spans="4:100">
      <c r="F51" t="s">
        <v>140</v>
      </c>
      <c r="G51" s="2">
        <v>123</v>
      </c>
      <c r="P51">
        <f>IF(M38&gt;$O$4,1,0)</f>
        <v>0</v>
      </c>
      <c r="R51" s="10"/>
      <c r="S51" s="10"/>
      <c r="T51" s="7" t="s">
        <v>67</v>
      </c>
      <c r="U51" s="9">
        <v>177</v>
      </c>
      <c r="W51" s="10"/>
      <c r="X51" s="10"/>
      <c r="Y51" s="7" t="s">
        <v>71</v>
      </c>
      <c r="Z51" s="9">
        <v>157</v>
      </c>
      <c r="AA51">
        <f t="shared" si="8"/>
        <v>41.621621621621614</v>
      </c>
      <c r="AC51" s="10"/>
      <c r="AD51" s="10"/>
      <c r="AE51" s="7" t="s">
        <v>72</v>
      </c>
      <c r="AF51" s="9">
        <v>225</v>
      </c>
      <c r="AG51">
        <f t="shared" si="16"/>
        <v>26.378378378378386</v>
      </c>
      <c r="AI51" s="10"/>
      <c r="AJ51" s="10"/>
      <c r="AK51" s="7" t="s">
        <v>73</v>
      </c>
      <c r="AL51" s="9">
        <v>199</v>
      </c>
      <c r="AM51">
        <f t="shared" si="17"/>
        <v>0.37837837837838606</v>
      </c>
      <c r="AO51" s="10"/>
      <c r="AP51" s="10"/>
      <c r="AQ51" s="7" t="s">
        <v>77</v>
      </c>
      <c r="AR51" s="9">
        <v>252</v>
      </c>
      <c r="AS51">
        <f t="shared" si="18"/>
        <v>53.378378378378386</v>
      </c>
      <c r="AU51" s="10"/>
      <c r="AV51" s="10"/>
      <c r="AW51" s="7" t="s">
        <v>81</v>
      </c>
      <c r="AX51" s="9">
        <v>206</v>
      </c>
      <c r="AY51">
        <f t="shared" si="19"/>
        <v>7.3783783783783861</v>
      </c>
      <c r="BA51" s="10"/>
      <c r="BB51" s="10"/>
      <c r="BC51" s="7" t="s">
        <v>83</v>
      </c>
      <c r="BD51" s="9">
        <v>233</v>
      </c>
      <c r="BF51" s="7" t="s">
        <v>17</v>
      </c>
      <c r="BG51" s="8">
        <v>547</v>
      </c>
      <c r="BH51" s="7" t="s">
        <v>86</v>
      </c>
      <c r="BI51" s="9">
        <v>183</v>
      </c>
      <c r="BJ51">
        <f t="shared" si="9"/>
        <v>15.621621621621614</v>
      </c>
      <c r="CS51" s="10"/>
      <c r="CT51" s="10"/>
      <c r="CU51" s="7" t="s">
        <v>71</v>
      </c>
      <c r="CV51" s="9">
        <v>157</v>
      </c>
    </row>
    <row r="52" spans="4:100">
      <c r="F52" t="s">
        <v>141</v>
      </c>
      <c r="G52" s="2">
        <v>202</v>
      </c>
      <c r="P52">
        <f t="shared" ref="P52:P54" si="20">IF(M52&gt;$O$4,1,0)</f>
        <v>0</v>
      </c>
      <c r="R52" s="10"/>
      <c r="S52" s="10"/>
      <c r="T52" s="7" t="s">
        <v>68</v>
      </c>
      <c r="U52" s="9">
        <v>198</v>
      </c>
      <c r="W52" s="10"/>
      <c r="X52" s="10"/>
      <c r="Y52" s="7" t="s">
        <v>72</v>
      </c>
      <c r="Z52" s="9">
        <v>225</v>
      </c>
      <c r="AA52">
        <f t="shared" si="8"/>
        <v>26.378378378378386</v>
      </c>
      <c r="AC52" s="10"/>
      <c r="AD52" s="10"/>
      <c r="AE52" s="7" t="s">
        <v>73</v>
      </c>
      <c r="AF52" s="9">
        <v>199</v>
      </c>
      <c r="AG52">
        <f t="shared" si="16"/>
        <v>0.37837837837838606</v>
      </c>
      <c r="AI52" s="7" t="s">
        <v>14</v>
      </c>
      <c r="AJ52" s="8">
        <v>498</v>
      </c>
      <c r="AK52" s="7" t="s">
        <v>74</v>
      </c>
      <c r="AL52" s="9">
        <v>147</v>
      </c>
      <c r="AM52">
        <f t="shared" si="17"/>
        <v>51.621621621621614</v>
      </c>
      <c r="AO52" s="10"/>
      <c r="AP52" s="10"/>
      <c r="AQ52" s="7" t="s">
        <v>79</v>
      </c>
      <c r="AR52" s="9">
        <v>262</v>
      </c>
      <c r="AS52">
        <f t="shared" si="18"/>
        <v>63.378378378378386</v>
      </c>
      <c r="AU52" s="10"/>
      <c r="AV52" s="10"/>
      <c r="AW52" s="7" t="s">
        <v>82</v>
      </c>
      <c r="AX52" s="9">
        <v>178</v>
      </c>
      <c r="AY52">
        <f t="shared" si="19"/>
        <v>20.621621621621614</v>
      </c>
      <c r="BA52" s="7" t="s">
        <v>15</v>
      </c>
      <c r="BB52" s="8">
        <v>571</v>
      </c>
      <c r="BC52" s="7" t="s">
        <v>84</v>
      </c>
      <c r="BD52" s="9">
        <v>225</v>
      </c>
      <c r="CS52" s="10"/>
      <c r="CT52" s="10"/>
      <c r="CU52" s="7" t="s">
        <v>72</v>
      </c>
      <c r="CV52" s="9">
        <v>225</v>
      </c>
    </row>
    <row r="53" spans="4:100">
      <c r="F53" t="s">
        <v>58</v>
      </c>
      <c r="G53" s="2">
        <v>213</v>
      </c>
      <c r="P53">
        <f t="shared" si="20"/>
        <v>0</v>
      </c>
      <c r="R53" s="7" t="s">
        <v>92</v>
      </c>
      <c r="S53" s="8">
        <v>1081</v>
      </c>
      <c r="T53" s="7" t="s">
        <v>69</v>
      </c>
      <c r="U53" s="9">
        <v>206</v>
      </c>
      <c r="W53" s="10"/>
      <c r="X53" s="10"/>
      <c r="Y53" s="7" t="s">
        <v>73</v>
      </c>
      <c r="Z53" s="9">
        <v>199</v>
      </c>
      <c r="AA53">
        <f t="shared" si="8"/>
        <v>0.37837837837838606</v>
      </c>
      <c r="AC53" s="7" t="s">
        <v>14</v>
      </c>
      <c r="AD53" s="8">
        <v>498</v>
      </c>
      <c r="AE53" s="7" t="s">
        <v>74</v>
      </c>
      <c r="AF53" s="9">
        <v>147</v>
      </c>
      <c r="AG53">
        <f t="shared" si="16"/>
        <v>51.621621621621614</v>
      </c>
      <c r="AI53" s="7" t="s">
        <v>93</v>
      </c>
      <c r="AJ53" s="8">
        <v>1609</v>
      </c>
      <c r="AK53" s="7" t="s">
        <v>76</v>
      </c>
      <c r="AL53" s="9">
        <v>151</v>
      </c>
      <c r="AM53">
        <f t="shared" si="17"/>
        <v>47.621621621621614</v>
      </c>
      <c r="AO53" s="10"/>
      <c r="AP53" s="10"/>
      <c r="AQ53" s="7" t="s">
        <v>80</v>
      </c>
      <c r="AR53" s="9">
        <v>202</v>
      </c>
      <c r="AS53">
        <f t="shared" si="18"/>
        <v>3.3783783783783861</v>
      </c>
      <c r="AU53" s="10"/>
      <c r="AV53" s="10"/>
      <c r="AW53" s="7" t="s">
        <v>83</v>
      </c>
      <c r="AX53" s="9">
        <v>233</v>
      </c>
      <c r="AY53">
        <f t="shared" si="19"/>
        <v>34.378378378378386</v>
      </c>
      <c r="BA53" s="7" t="s">
        <v>17</v>
      </c>
      <c r="BB53" s="8">
        <v>547</v>
      </c>
      <c r="BC53" s="7" t="s">
        <v>86</v>
      </c>
      <c r="BD53" s="9">
        <v>183</v>
      </c>
      <c r="CS53" s="10"/>
      <c r="CT53" s="10"/>
      <c r="CU53" s="7" t="s">
        <v>73</v>
      </c>
      <c r="CV53" s="9">
        <v>199</v>
      </c>
    </row>
    <row r="54" spans="4:100">
      <c r="F54" t="s">
        <v>59</v>
      </c>
      <c r="G54" s="2">
        <v>180</v>
      </c>
      <c r="P54">
        <f t="shared" si="20"/>
        <v>0</v>
      </c>
      <c r="R54" s="10"/>
      <c r="S54" s="10"/>
      <c r="T54" s="7" t="s">
        <v>70</v>
      </c>
      <c r="U54" s="9">
        <v>294</v>
      </c>
      <c r="W54" s="7" t="s">
        <v>14</v>
      </c>
      <c r="X54" s="8">
        <v>498</v>
      </c>
      <c r="Y54" s="7" t="s">
        <v>74</v>
      </c>
      <c r="Z54" s="9">
        <v>147</v>
      </c>
      <c r="AA54">
        <f t="shared" si="8"/>
        <v>51.621621621621614</v>
      </c>
      <c r="AC54" s="7" t="s">
        <v>93</v>
      </c>
      <c r="AD54" s="8">
        <v>1609</v>
      </c>
      <c r="AE54" s="7" t="s">
        <v>76</v>
      </c>
      <c r="AF54" s="9">
        <v>151</v>
      </c>
      <c r="AG54">
        <f t="shared" si="16"/>
        <v>47.621621621621614</v>
      </c>
      <c r="AI54" s="10"/>
      <c r="AJ54" s="10"/>
      <c r="AK54" s="7" t="s">
        <v>77</v>
      </c>
      <c r="AL54" s="9">
        <v>252</v>
      </c>
      <c r="AM54">
        <f t="shared" si="17"/>
        <v>53.378378378378386</v>
      </c>
      <c r="AO54" s="10"/>
      <c r="AP54" s="10"/>
      <c r="AQ54" s="7" t="s">
        <v>81</v>
      </c>
      <c r="AR54" s="9">
        <v>206</v>
      </c>
      <c r="AS54">
        <f t="shared" si="18"/>
        <v>7.3783783783783861</v>
      </c>
      <c r="AU54" s="7" t="s">
        <v>15</v>
      </c>
      <c r="AV54" s="8">
        <v>571</v>
      </c>
      <c r="AW54" s="7" t="s">
        <v>84</v>
      </c>
      <c r="AX54" s="9">
        <v>225</v>
      </c>
      <c r="AY54">
        <f t="shared" si="19"/>
        <v>26.378378378378386</v>
      </c>
      <c r="CS54" s="7" t="s">
        <v>14</v>
      </c>
      <c r="CT54" s="8">
        <v>498</v>
      </c>
      <c r="CU54" s="7" t="s">
        <v>74</v>
      </c>
      <c r="CV54" s="9">
        <v>147</v>
      </c>
    </row>
    <row r="55" spans="4:100">
      <c r="D55" t="s">
        <v>11</v>
      </c>
      <c r="E55">
        <v>61</v>
      </c>
      <c r="F55" t="s">
        <v>11</v>
      </c>
      <c r="G55">
        <v>61</v>
      </c>
      <c r="P55">
        <f>IF(M53&gt;$O$4,1,0)</f>
        <v>0</v>
      </c>
      <c r="R55" s="10"/>
      <c r="S55" s="10"/>
      <c r="T55" s="7" t="s">
        <v>71</v>
      </c>
      <c r="U55" s="9">
        <v>157</v>
      </c>
      <c r="W55" s="13"/>
      <c r="X55" s="13"/>
      <c r="Y55" s="11" t="s">
        <v>75</v>
      </c>
      <c r="Z55" s="14">
        <v>351</v>
      </c>
      <c r="AA55" s="15">
        <f t="shared" si="8"/>
        <v>152.37837837837839</v>
      </c>
      <c r="AC55" s="10"/>
      <c r="AD55" s="10"/>
      <c r="AE55" s="7" t="s">
        <v>77</v>
      </c>
      <c r="AF55" s="9">
        <v>252</v>
      </c>
      <c r="AG55">
        <f t="shared" si="16"/>
        <v>53.378378378378386</v>
      </c>
      <c r="AI55" s="10"/>
      <c r="AJ55" s="10"/>
      <c r="AK55" s="7" t="s">
        <v>78</v>
      </c>
      <c r="AL55" s="9">
        <v>125</v>
      </c>
      <c r="AM55">
        <f t="shared" si="17"/>
        <v>73.621621621621614</v>
      </c>
      <c r="AO55" s="10"/>
      <c r="AP55" s="10"/>
      <c r="AQ55" s="7" t="s">
        <v>82</v>
      </c>
      <c r="AR55" s="9">
        <v>178</v>
      </c>
      <c r="AS55">
        <f t="shared" si="18"/>
        <v>20.621621621621614</v>
      </c>
      <c r="AU55" s="7" t="s">
        <v>17</v>
      </c>
      <c r="AV55" s="8">
        <v>547</v>
      </c>
      <c r="AW55" s="7" t="s">
        <v>86</v>
      </c>
      <c r="AX55" s="9">
        <v>183</v>
      </c>
      <c r="AY55">
        <f t="shared" si="19"/>
        <v>15.621621621621614</v>
      </c>
      <c r="CS55" s="10"/>
      <c r="CT55" s="10"/>
      <c r="CU55" s="7" t="s">
        <v>75</v>
      </c>
      <c r="CV55" s="9">
        <v>351</v>
      </c>
    </row>
    <row r="56" spans="4:100">
      <c r="D56" t="s">
        <v>12</v>
      </c>
      <c r="E56">
        <v>192</v>
      </c>
      <c r="F56" t="s">
        <v>12</v>
      </c>
      <c r="G56" s="2">
        <v>192</v>
      </c>
      <c r="P56">
        <f t="shared" ref="P56" si="21">IF(M56&gt;$O$4,1,0)</f>
        <v>0</v>
      </c>
      <c r="R56" s="10"/>
      <c r="S56" s="10"/>
      <c r="T56" s="7" t="s">
        <v>72</v>
      </c>
      <c r="U56" s="9">
        <v>225</v>
      </c>
      <c r="W56" s="7" t="s">
        <v>93</v>
      </c>
      <c r="X56" s="8">
        <v>1609</v>
      </c>
      <c r="Y56" s="7" t="s">
        <v>76</v>
      </c>
      <c r="Z56" s="9">
        <v>151</v>
      </c>
      <c r="AA56">
        <f t="shared" ref="AA56:AA64" si="22">ABS(Z56 - $O$1)</f>
        <v>47.621621621621614</v>
      </c>
      <c r="AC56" s="10"/>
      <c r="AD56" s="10"/>
      <c r="AE56" s="7" t="s">
        <v>78</v>
      </c>
      <c r="AF56" s="9">
        <v>125</v>
      </c>
      <c r="AG56">
        <f t="shared" si="16"/>
        <v>73.621621621621614</v>
      </c>
      <c r="AI56" s="10"/>
      <c r="AJ56" s="10"/>
      <c r="AK56" s="7" t="s">
        <v>79</v>
      </c>
      <c r="AL56" s="9">
        <v>262</v>
      </c>
      <c r="AM56">
        <f t="shared" si="17"/>
        <v>63.378378378378386</v>
      </c>
      <c r="AO56" s="10"/>
      <c r="AP56" s="10"/>
      <c r="AQ56" s="7" t="s">
        <v>83</v>
      </c>
      <c r="AR56" s="9">
        <v>233</v>
      </c>
      <c r="AS56">
        <f t="shared" si="18"/>
        <v>34.378378378378386</v>
      </c>
      <c r="CS56" s="7" t="s">
        <v>93</v>
      </c>
      <c r="CT56" s="8">
        <v>1609</v>
      </c>
      <c r="CU56" s="7" t="s">
        <v>76</v>
      </c>
      <c r="CV56" s="9">
        <v>151</v>
      </c>
    </row>
    <row r="57" spans="4:100">
      <c r="D57" t="s">
        <v>13</v>
      </c>
      <c r="E57">
        <v>459</v>
      </c>
      <c r="F57" t="s">
        <v>142</v>
      </c>
      <c r="G57" s="2">
        <v>271</v>
      </c>
      <c r="P57">
        <f>IF(M52&gt;$O$4,1,0)</f>
        <v>0</v>
      </c>
      <c r="R57" s="10"/>
      <c r="S57" s="10"/>
      <c r="T57" s="7" t="s">
        <v>73</v>
      </c>
      <c r="U57" s="9">
        <v>199</v>
      </c>
      <c r="W57" s="10"/>
      <c r="X57" s="10"/>
      <c r="Y57" s="7" t="s">
        <v>77</v>
      </c>
      <c r="Z57" s="9">
        <v>252</v>
      </c>
      <c r="AA57">
        <f t="shared" si="22"/>
        <v>53.378378378378386</v>
      </c>
      <c r="AC57" s="10"/>
      <c r="AD57" s="10"/>
      <c r="AE57" s="7" t="s">
        <v>79</v>
      </c>
      <c r="AF57" s="9">
        <v>262</v>
      </c>
      <c r="AG57">
        <f t="shared" si="16"/>
        <v>63.378378378378386</v>
      </c>
      <c r="AI57" s="10"/>
      <c r="AJ57" s="10"/>
      <c r="AK57" s="7" t="s">
        <v>80</v>
      </c>
      <c r="AL57" s="9">
        <v>202</v>
      </c>
      <c r="AM57">
        <f t="shared" si="17"/>
        <v>3.3783783783783861</v>
      </c>
      <c r="AO57" s="7" t="s">
        <v>15</v>
      </c>
      <c r="AP57" s="8">
        <v>571</v>
      </c>
      <c r="AQ57" s="7" t="s">
        <v>84</v>
      </c>
      <c r="AR57" s="9">
        <v>225</v>
      </c>
      <c r="AS57">
        <f t="shared" si="18"/>
        <v>26.378378378378386</v>
      </c>
      <c r="CS57" s="10"/>
      <c r="CT57" s="10"/>
      <c r="CU57" s="7" t="s">
        <v>77</v>
      </c>
      <c r="CV57" s="9">
        <v>252</v>
      </c>
    </row>
    <row r="58" spans="4:100">
      <c r="F58" t="s">
        <v>143</v>
      </c>
      <c r="P58">
        <f>IF(M53&gt;$O$4,1,0)</f>
        <v>0</v>
      </c>
      <c r="R58" s="7" t="s">
        <v>14</v>
      </c>
      <c r="S58" s="8">
        <v>498</v>
      </c>
      <c r="T58" s="7" t="s">
        <v>74</v>
      </c>
      <c r="U58" s="9">
        <v>147</v>
      </c>
      <c r="W58" s="10"/>
      <c r="X58" s="10"/>
      <c r="Y58" s="7" t="s">
        <v>78</v>
      </c>
      <c r="Z58" s="9">
        <v>125</v>
      </c>
      <c r="AA58">
        <f t="shared" si="22"/>
        <v>73.621621621621614</v>
      </c>
      <c r="AC58" s="10"/>
      <c r="AD58" s="10"/>
      <c r="AE58" s="7" t="s">
        <v>80</v>
      </c>
      <c r="AF58" s="9">
        <v>202</v>
      </c>
      <c r="AG58">
        <f t="shared" si="16"/>
        <v>3.3783783783783861</v>
      </c>
      <c r="AI58" s="10"/>
      <c r="AJ58" s="10"/>
      <c r="AK58" s="7" t="s">
        <v>81</v>
      </c>
      <c r="AL58" s="9">
        <v>206</v>
      </c>
      <c r="AM58">
        <f t="shared" si="17"/>
        <v>7.3783783783783861</v>
      </c>
      <c r="AO58" s="7" t="s">
        <v>17</v>
      </c>
      <c r="AP58" s="8">
        <v>547</v>
      </c>
      <c r="AQ58" s="7" t="s">
        <v>86</v>
      </c>
      <c r="AR58" s="9">
        <v>183</v>
      </c>
      <c r="AS58">
        <f t="shared" si="18"/>
        <v>15.621621621621614</v>
      </c>
      <c r="CS58" s="10"/>
      <c r="CT58" s="10"/>
      <c r="CU58" s="7" t="s">
        <v>78</v>
      </c>
      <c r="CV58" s="9">
        <v>125</v>
      </c>
    </row>
    <row r="59" spans="4:100">
      <c r="D59" t="s">
        <v>25</v>
      </c>
      <c r="E59">
        <v>241</v>
      </c>
      <c r="F59" t="s">
        <v>144</v>
      </c>
      <c r="G59" s="2">
        <v>188</v>
      </c>
      <c r="P59">
        <f>IF(M53&gt;$O$4,1,0)</f>
        <v>0</v>
      </c>
      <c r="R59" s="10"/>
      <c r="S59" s="10"/>
      <c r="T59" s="7" t="s">
        <v>75</v>
      </c>
      <c r="U59" s="9">
        <v>351</v>
      </c>
      <c r="W59" s="10"/>
      <c r="X59" s="10"/>
      <c r="Y59" s="7" t="s">
        <v>79</v>
      </c>
      <c r="Z59" s="9">
        <v>262</v>
      </c>
      <c r="AA59">
        <f t="shared" si="22"/>
        <v>63.378378378378386</v>
      </c>
      <c r="AC59" s="10"/>
      <c r="AD59" s="10"/>
      <c r="AE59" s="7" t="s">
        <v>81</v>
      </c>
      <c r="AF59" s="9">
        <v>206</v>
      </c>
      <c r="AG59">
        <f t="shared" si="16"/>
        <v>7.3783783783783861</v>
      </c>
      <c r="AI59" s="10"/>
      <c r="AJ59" s="10"/>
      <c r="AK59" s="7" t="s">
        <v>82</v>
      </c>
      <c r="AL59" s="9">
        <v>178</v>
      </c>
      <c r="AM59">
        <f t="shared" si="17"/>
        <v>20.621621621621614</v>
      </c>
      <c r="CS59" s="10"/>
      <c r="CT59" s="10"/>
      <c r="CU59" s="7" t="s">
        <v>79</v>
      </c>
      <c r="CV59" s="9">
        <v>262</v>
      </c>
    </row>
    <row r="60" spans="4:100">
      <c r="F60" t="s">
        <v>145</v>
      </c>
      <c r="I60" s="16"/>
      <c r="J60" s="16"/>
      <c r="K60" s="17"/>
      <c r="L60" s="18"/>
      <c r="M60" s="19"/>
      <c r="P60">
        <f t="shared" ref="P60" si="23">IF(M60&gt;$O$4,1,0)</f>
        <v>0</v>
      </c>
      <c r="R60" s="7" t="s">
        <v>93</v>
      </c>
      <c r="S60" s="8">
        <v>1609</v>
      </c>
      <c r="T60" s="7" t="s">
        <v>76</v>
      </c>
      <c r="U60" s="9">
        <v>151</v>
      </c>
      <c r="W60" s="10"/>
      <c r="X60" s="10"/>
      <c r="Y60" s="7" t="s">
        <v>80</v>
      </c>
      <c r="Z60" s="9">
        <v>202</v>
      </c>
      <c r="AA60">
        <f t="shared" si="22"/>
        <v>3.3783783783783861</v>
      </c>
      <c r="AC60" s="10"/>
      <c r="AD60" s="10"/>
      <c r="AE60" s="7" t="s">
        <v>82</v>
      </c>
      <c r="AF60" s="9">
        <v>178</v>
      </c>
      <c r="AG60">
        <f t="shared" si="16"/>
        <v>20.621621621621614</v>
      </c>
      <c r="AI60" s="10"/>
      <c r="AJ60" s="10"/>
      <c r="AK60" s="7" t="s">
        <v>83</v>
      </c>
      <c r="AL60" s="9">
        <v>233</v>
      </c>
      <c r="AM60">
        <f t="shared" si="17"/>
        <v>34.378378378378386</v>
      </c>
      <c r="CS60" s="10"/>
      <c r="CT60" s="10"/>
      <c r="CU60" s="7" t="s">
        <v>80</v>
      </c>
      <c r="CV60" s="9">
        <v>202</v>
      </c>
    </row>
    <row r="61" spans="4:100">
      <c r="F61" t="s">
        <v>146</v>
      </c>
      <c r="G61" s="2">
        <v>241</v>
      </c>
      <c r="P61">
        <f>IF(M52&gt;$O$4,1,0)</f>
        <v>0</v>
      </c>
      <c r="R61" s="10"/>
      <c r="S61" s="10"/>
      <c r="T61" s="7" t="s">
        <v>77</v>
      </c>
      <c r="U61" s="9">
        <v>252</v>
      </c>
      <c r="W61" s="10"/>
      <c r="X61" s="10"/>
      <c r="Y61" s="7" t="s">
        <v>81</v>
      </c>
      <c r="Z61" s="9">
        <v>206</v>
      </c>
      <c r="AA61">
        <f t="shared" si="22"/>
        <v>7.3783783783783861</v>
      </c>
      <c r="AC61" s="10"/>
      <c r="AD61" s="10"/>
      <c r="AE61" s="7" t="s">
        <v>83</v>
      </c>
      <c r="AF61" s="9">
        <v>233</v>
      </c>
      <c r="AG61">
        <f t="shared" si="16"/>
        <v>34.378378378378386</v>
      </c>
      <c r="AI61" s="7" t="s">
        <v>15</v>
      </c>
      <c r="AJ61" s="8">
        <v>571</v>
      </c>
      <c r="AK61" s="7" t="s">
        <v>84</v>
      </c>
      <c r="AL61" s="9">
        <v>225</v>
      </c>
      <c r="AM61">
        <f t="shared" si="17"/>
        <v>26.378378378378386</v>
      </c>
      <c r="CS61" s="10"/>
      <c r="CT61" s="10"/>
      <c r="CU61" s="7" t="s">
        <v>81</v>
      </c>
      <c r="CV61" s="9">
        <v>206</v>
      </c>
    </row>
    <row r="62" spans="4:100">
      <c r="D62" t="s">
        <v>91</v>
      </c>
      <c r="E62" s="2">
        <v>1243</v>
      </c>
      <c r="F62" t="s">
        <v>63</v>
      </c>
      <c r="G62" s="2">
        <v>211</v>
      </c>
      <c r="P62">
        <f>IF(M53&gt;$O$4,1,0)</f>
        <v>0</v>
      </c>
      <c r="R62" s="10"/>
      <c r="S62" s="10"/>
      <c r="T62" s="7" t="s">
        <v>78</v>
      </c>
      <c r="U62" s="9">
        <v>125</v>
      </c>
      <c r="W62" s="10"/>
      <c r="X62" s="10"/>
      <c r="Y62" s="7" t="s">
        <v>82</v>
      </c>
      <c r="Z62" s="9">
        <v>178</v>
      </c>
      <c r="AA62">
        <f t="shared" si="22"/>
        <v>20.621621621621614</v>
      </c>
      <c r="AC62" s="7" t="s">
        <v>15</v>
      </c>
      <c r="AD62" s="8">
        <v>571</v>
      </c>
      <c r="AE62" s="7" t="s">
        <v>84</v>
      </c>
      <c r="AF62" s="9">
        <v>225</v>
      </c>
      <c r="AG62">
        <f t="shared" si="16"/>
        <v>26.378378378378386</v>
      </c>
      <c r="AI62" s="7" t="s">
        <v>17</v>
      </c>
      <c r="AJ62" s="8">
        <v>547</v>
      </c>
      <c r="AK62" s="7" t="s">
        <v>86</v>
      </c>
      <c r="AL62" s="9">
        <v>183</v>
      </c>
      <c r="AM62">
        <f t="shared" si="17"/>
        <v>15.621621621621614</v>
      </c>
      <c r="CS62" s="10"/>
      <c r="CT62" s="10"/>
      <c r="CU62" s="7" t="s">
        <v>82</v>
      </c>
      <c r="CV62" s="9">
        <v>178</v>
      </c>
    </row>
    <row r="63" spans="4:100">
      <c r="F63" t="s">
        <v>147</v>
      </c>
      <c r="G63" s="2">
        <v>307</v>
      </c>
      <c r="P63">
        <f>IF(M60&gt;$O$4,1,0)</f>
        <v>0</v>
      </c>
      <c r="R63" s="10"/>
      <c r="S63" s="10"/>
      <c r="T63" s="7" t="s">
        <v>79</v>
      </c>
      <c r="U63" s="9">
        <v>262</v>
      </c>
      <c r="W63" s="10"/>
      <c r="X63" s="10"/>
      <c r="Y63" s="7" t="s">
        <v>83</v>
      </c>
      <c r="Z63" s="9">
        <v>233</v>
      </c>
      <c r="AA63">
        <f t="shared" si="22"/>
        <v>34.378378378378386</v>
      </c>
      <c r="AC63" s="7" t="s">
        <v>17</v>
      </c>
      <c r="AD63" s="8">
        <v>547</v>
      </c>
      <c r="AE63" s="7" t="s">
        <v>86</v>
      </c>
      <c r="AF63" s="9">
        <v>183</v>
      </c>
      <c r="AG63">
        <f t="shared" si="16"/>
        <v>15.621621621621614</v>
      </c>
      <c r="AI63" s="10"/>
      <c r="AJ63" s="10"/>
      <c r="AK63" s="7" t="s">
        <v>87</v>
      </c>
      <c r="AL63" s="9">
        <v>302</v>
      </c>
      <c r="AM63">
        <f t="shared" ref="AM63" si="24">ABS(AL63 - $O$1)</f>
        <v>103.37837837837839</v>
      </c>
      <c r="CS63" s="10"/>
      <c r="CT63" s="10"/>
      <c r="CU63" s="7" t="s">
        <v>83</v>
      </c>
      <c r="CV63" s="9">
        <v>233</v>
      </c>
    </row>
    <row r="64" spans="4:100">
      <c r="F64" t="s">
        <v>148</v>
      </c>
      <c r="P64">
        <f t="shared" ref="P64" si="25">IF(M64&gt;$O$4,1,0)</f>
        <v>0</v>
      </c>
      <c r="R64" s="10"/>
      <c r="S64" s="10"/>
      <c r="T64" s="7" t="s">
        <v>80</v>
      </c>
      <c r="U64" s="9">
        <v>202</v>
      </c>
      <c r="W64" s="7" t="s">
        <v>15</v>
      </c>
      <c r="X64" s="8">
        <v>571</v>
      </c>
      <c r="Y64" s="7" t="s">
        <v>84</v>
      </c>
      <c r="Z64" s="9">
        <v>225</v>
      </c>
      <c r="AA64">
        <f t="shared" si="22"/>
        <v>26.378378378378386</v>
      </c>
      <c r="AC64" s="10"/>
      <c r="AD64" s="10"/>
      <c r="AE64" s="7" t="s">
        <v>87</v>
      </c>
      <c r="AF64" s="9">
        <v>302</v>
      </c>
      <c r="AG64">
        <f t="shared" ref="AG64" si="26">ABS(AF64 - $O$1)</f>
        <v>103.37837837837839</v>
      </c>
      <c r="CS64" s="7" t="s">
        <v>15</v>
      </c>
      <c r="CT64" s="8">
        <v>571</v>
      </c>
      <c r="CU64" s="7" t="s">
        <v>84</v>
      </c>
      <c r="CV64" s="9">
        <v>225</v>
      </c>
    </row>
    <row r="65" spans="4:100">
      <c r="F65" t="s">
        <v>65</v>
      </c>
      <c r="G65" s="2">
        <v>146</v>
      </c>
      <c r="P65">
        <f t="shared" ref="P65" si="27">IF(M65&gt;$O$4,1,0)</f>
        <v>0</v>
      </c>
      <c r="R65" s="10"/>
      <c r="S65" s="10"/>
      <c r="T65" s="7" t="s">
        <v>81</v>
      </c>
      <c r="U65" s="9">
        <v>206</v>
      </c>
      <c r="W65" s="13"/>
      <c r="X65" s="13"/>
      <c r="Y65" s="11" t="s">
        <v>85</v>
      </c>
      <c r="Z65" s="14">
        <v>346</v>
      </c>
      <c r="AA65" s="15">
        <f t="shared" si="8"/>
        <v>147.37837837837839</v>
      </c>
      <c r="CS65" s="10"/>
      <c r="CT65" s="10"/>
      <c r="CU65" s="7" t="s">
        <v>85</v>
      </c>
      <c r="CV65" s="9">
        <v>346</v>
      </c>
    </row>
    <row r="66" spans="4:100">
      <c r="P66">
        <f>IF(M53&gt;$O$4,1,0)</f>
        <v>0</v>
      </c>
      <c r="R66" s="10"/>
      <c r="S66" s="10"/>
      <c r="T66" s="7" t="s">
        <v>82</v>
      </c>
      <c r="U66" s="9">
        <v>178</v>
      </c>
      <c r="W66" s="7" t="s">
        <v>17</v>
      </c>
      <c r="X66" s="8">
        <v>547</v>
      </c>
      <c r="Y66" s="7" t="s">
        <v>86</v>
      </c>
      <c r="Z66" s="9">
        <v>183</v>
      </c>
      <c r="AA66">
        <f>ABS(Z66 - $O$1)</f>
        <v>15.621621621621614</v>
      </c>
      <c r="CS66" s="7" t="s">
        <v>17</v>
      </c>
      <c r="CT66" s="8">
        <v>547</v>
      </c>
      <c r="CU66" s="7" t="s">
        <v>86</v>
      </c>
      <c r="CV66" s="9">
        <v>183</v>
      </c>
    </row>
    <row r="67" spans="4:100">
      <c r="F67" t="s">
        <v>66</v>
      </c>
      <c r="G67" s="2">
        <v>204</v>
      </c>
      <c r="P67">
        <f>IF(M60&gt;$O$4,1,0)</f>
        <v>0</v>
      </c>
      <c r="R67" s="10"/>
      <c r="S67" s="10"/>
      <c r="T67" s="7" t="s">
        <v>83</v>
      </c>
      <c r="U67" s="9">
        <v>233</v>
      </c>
      <c r="W67" s="10"/>
      <c r="X67" s="10"/>
      <c r="Y67" s="7" t="s">
        <v>87</v>
      </c>
      <c r="Z67" s="9">
        <v>302</v>
      </c>
      <c r="AA67">
        <f>ABS(Z67 - $O$1)</f>
        <v>103.37837837837839</v>
      </c>
      <c r="CS67" s="10"/>
      <c r="CT67" s="10"/>
      <c r="CU67" s="7" t="s">
        <v>87</v>
      </c>
      <c r="CV67" s="9">
        <v>302</v>
      </c>
    </row>
    <row r="68" spans="4:100">
      <c r="F68" t="s">
        <v>67</v>
      </c>
      <c r="G68" s="2">
        <v>177</v>
      </c>
      <c r="P68">
        <f t="shared" ref="P68:P72" si="28">IF(M68&gt;$O$4,1,0)</f>
        <v>0</v>
      </c>
      <c r="R68" s="7" t="s">
        <v>15</v>
      </c>
      <c r="S68" s="8">
        <v>571</v>
      </c>
      <c r="T68" s="7" t="s">
        <v>84</v>
      </c>
      <c r="U68" s="9">
        <v>225</v>
      </c>
    </row>
    <row r="69" spans="4:100">
      <c r="F69" t="s">
        <v>68</v>
      </c>
      <c r="G69" s="2">
        <v>198</v>
      </c>
      <c r="P69">
        <f t="shared" si="28"/>
        <v>0</v>
      </c>
      <c r="R69" s="10"/>
      <c r="S69" s="10"/>
      <c r="T69" s="7" t="s">
        <v>85</v>
      </c>
      <c r="U69" s="9">
        <v>346</v>
      </c>
    </row>
    <row r="70" spans="4:100">
      <c r="D70" t="s">
        <v>92</v>
      </c>
      <c r="E70">
        <v>1081</v>
      </c>
      <c r="F70" t="s">
        <v>149</v>
      </c>
      <c r="G70" s="2">
        <v>206</v>
      </c>
      <c r="P70">
        <f t="shared" si="28"/>
        <v>0</v>
      </c>
      <c r="R70" s="11" t="s">
        <v>16</v>
      </c>
      <c r="S70" s="12">
        <v>44</v>
      </c>
      <c r="T70" s="11" t="s">
        <v>16</v>
      </c>
      <c r="U70" s="14">
        <v>44</v>
      </c>
    </row>
    <row r="71" spans="4:100">
      <c r="F71" t="s">
        <v>150</v>
      </c>
      <c r="P71">
        <f t="shared" si="28"/>
        <v>0</v>
      </c>
      <c r="R71" s="7" t="s">
        <v>17</v>
      </c>
      <c r="S71" s="8">
        <v>547</v>
      </c>
      <c r="T71" s="7" t="s">
        <v>86</v>
      </c>
      <c r="U71" s="9">
        <v>183</v>
      </c>
    </row>
    <row r="72" spans="4:100">
      <c r="F72" t="s">
        <v>151</v>
      </c>
      <c r="G72" s="2">
        <v>294</v>
      </c>
      <c r="P72">
        <f t="shared" si="28"/>
        <v>0</v>
      </c>
      <c r="R72" s="10"/>
      <c r="S72" s="10"/>
      <c r="T72" s="7" t="s">
        <v>87</v>
      </c>
      <c r="U72" s="9">
        <v>302</v>
      </c>
    </row>
    <row r="73" spans="4:100">
      <c r="F73" t="s">
        <v>71</v>
      </c>
      <c r="G73" s="2">
        <v>157</v>
      </c>
    </row>
    <row r="74" spans="4:100">
      <c r="F74" t="s">
        <v>72</v>
      </c>
      <c r="G74" s="2">
        <v>225</v>
      </c>
    </row>
    <row r="76" spans="4:100">
      <c r="F76" t="s">
        <v>73</v>
      </c>
      <c r="G76" s="2">
        <v>199</v>
      </c>
    </row>
    <row r="77" spans="4:100">
      <c r="D77" t="s">
        <v>14</v>
      </c>
      <c r="E77">
        <v>498</v>
      </c>
      <c r="F77" t="s">
        <v>74</v>
      </c>
      <c r="G77" s="2">
        <v>147</v>
      </c>
    </row>
    <row r="78" spans="4:100">
      <c r="F78" t="s">
        <v>152</v>
      </c>
      <c r="G78" s="2">
        <v>351</v>
      </c>
    </row>
    <row r="79" spans="4:100">
      <c r="F79" t="s">
        <v>153</v>
      </c>
    </row>
    <row r="80" spans="4:100">
      <c r="D80" t="s">
        <v>93</v>
      </c>
      <c r="E80">
        <v>1609</v>
      </c>
      <c r="F80" t="s">
        <v>76</v>
      </c>
      <c r="G80" s="2">
        <v>151</v>
      </c>
    </row>
    <row r="81" spans="4:7">
      <c r="F81" t="s">
        <v>154</v>
      </c>
      <c r="G81" s="2">
        <v>252</v>
      </c>
    </row>
    <row r="82" spans="4:7">
      <c r="F82" t="s">
        <v>155</v>
      </c>
      <c r="G82" s="2">
        <v>125</v>
      </c>
    </row>
    <row r="83" spans="4:7">
      <c r="F83" t="s">
        <v>156</v>
      </c>
      <c r="G83" s="2">
        <v>262</v>
      </c>
    </row>
    <row r="84" spans="4:7">
      <c r="F84" t="s">
        <v>157</v>
      </c>
    </row>
    <row r="85" spans="4:7">
      <c r="F85" t="s">
        <v>158</v>
      </c>
    </row>
    <row r="86" spans="4:7">
      <c r="G86" s="2"/>
    </row>
    <row r="87" spans="4:7">
      <c r="F87" t="s">
        <v>159</v>
      </c>
      <c r="G87" s="2">
        <v>206</v>
      </c>
    </row>
    <row r="88" spans="4:7">
      <c r="F88" t="s">
        <v>160</v>
      </c>
      <c r="G88" s="2">
        <v>178</v>
      </c>
    </row>
    <row r="89" spans="4:7">
      <c r="F89" t="s">
        <v>161</v>
      </c>
    </row>
    <row r="90" spans="4:7">
      <c r="F90" t="s">
        <v>162</v>
      </c>
      <c r="G90" s="2">
        <v>233</v>
      </c>
    </row>
    <row r="91" spans="4:7">
      <c r="D91" t="s">
        <v>15</v>
      </c>
      <c r="E91">
        <v>571</v>
      </c>
      <c r="F91" t="s">
        <v>163</v>
      </c>
      <c r="G91" s="2">
        <v>225</v>
      </c>
    </row>
    <row r="92" spans="4:7">
      <c r="F92" t="s">
        <v>164</v>
      </c>
      <c r="G92" s="2">
        <v>346</v>
      </c>
    </row>
    <row r="93" spans="4:7">
      <c r="F93" t="s">
        <v>165</v>
      </c>
    </row>
    <row r="94" spans="4:7">
      <c r="D94" t="s">
        <v>16</v>
      </c>
      <c r="E94">
        <v>44</v>
      </c>
      <c r="F94" t="s">
        <v>16</v>
      </c>
      <c r="G94" s="2">
        <v>44</v>
      </c>
    </row>
    <row r="95" spans="4:7">
      <c r="D95" t="s">
        <v>17</v>
      </c>
      <c r="E95">
        <v>547</v>
      </c>
      <c r="F95" t="s">
        <v>166</v>
      </c>
      <c r="G95" s="2">
        <v>183</v>
      </c>
    </row>
    <row r="96" spans="4:7">
      <c r="F96" t="s">
        <v>167</v>
      </c>
      <c r="G96" s="2">
        <v>302</v>
      </c>
    </row>
    <row r="97" spans="6:6">
      <c r="F97" t="s">
        <v>168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2020-07-15T08:38:20Z</dcterms:created>
  <dcterms:modified xsi:type="dcterms:W3CDTF">2020-07-16T08:54:44Z</dcterms:modified>
</cp:coreProperties>
</file>