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thvanderbijl/Coding Projects/John Gospel Feature Scanner/"/>
    </mc:Choice>
  </mc:AlternateContent>
  <xr:revisionPtr revIDLastSave="0" documentId="13_ncr:1_{73381F80-8130-1C45-9B95-F7C357EF0529}" xr6:coauthVersionLast="45" xr6:coauthVersionMax="45" xr10:uidLastSave="{00000000-0000-0000-0000-000000000000}"/>
  <bookViews>
    <workbookView xWindow="5040" yWindow="2540" windowWidth="27440" windowHeight="16560" xr2:uid="{40F52A18-BACF-FF43-98F2-6A9D08CBB9C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C3" i="1" l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F3" i="1"/>
  <c r="BF5" i="1" s="1"/>
  <c r="BF2" i="1"/>
  <c r="BF1" i="1"/>
  <c r="BD3" i="1" l="1"/>
  <c r="BD25" i="1"/>
  <c r="BD17" i="1"/>
  <c r="BD24" i="1"/>
  <c r="BD23" i="1"/>
  <c r="BD15" i="1"/>
  <c r="BD7" i="1"/>
  <c r="BC26" i="1"/>
  <c r="BD26" i="1" s="1"/>
  <c r="BD18" i="1"/>
  <c r="BD9" i="1"/>
  <c r="BD8" i="1"/>
  <c r="BD22" i="1"/>
  <c r="BD14" i="1"/>
  <c r="BD6" i="1"/>
  <c r="BD16" i="1"/>
  <c r="BD21" i="1"/>
  <c r="BD13" i="1"/>
  <c r="BD5" i="1"/>
  <c r="BD20" i="1"/>
  <c r="BD12" i="1"/>
  <c r="BD4" i="1"/>
  <c r="BD10" i="1"/>
  <c r="BD19" i="1"/>
  <c r="BD11" i="1"/>
  <c r="BJ20" i="1"/>
  <c r="BM3" i="1"/>
  <c r="BM5" i="1" s="1"/>
  <c r="BM2" i="1"/>
  <c r="BM1" i="1"/>
  <c r="BJ24" i="1"/>
  <c r="BD27" i="1" l="1"/>
  <c r="BJ4" i="1"/>
  <c r="BJ5" i="1"/>
  <c r="BJ12" i="1"/>
  <c r="BK12" i="1" s="1"/>
  <c r="BJ13" i="1"/>
  <c r="BK13" i="1" s="1"/>
  <c r="BJ3" i="1"/>
  <c r="BK3" i="1" s="1"/>
  <c r="BJ17" i="1"/>
  <c r="BK17" i="1" s="1"/>
  <c r="BJ18" i="1"/>
  <c r="BK18" i="1" s="1"/>
  <c r="BJ21" i="1"/>
  <c r="BK21" i="1" s="1"/>
  <c r="BJ25" i="1"/>
  <c r="BK25" i="1" s="1"/>
  <c r="BJ9" i="1"/>
  <c r="BK9" i="1" s="1"/>
  <c r="BJ10" i="1"/>
  <c r="BK10" i="1" s="1"/>
  <c r="BJ26" i="1"/>
  <c r="BK26" i="1" s="1"/>
  <c r="BD28" i="1"/>
  <c r="BK20" i="1"/>
  <c r="BK5" i="1"/>
  <c r="BK4" i="1"/>
  <c r="BK24" i="1"/>
  <c r="BJ11" i="1"/>
  <c r="BK11" i="1" s="1"/>
  <c r="BJ19" i="1"/>
  <c r="BK19" i="1" s="1"/>
  <c r="BJ6" i="1"/>
  <c r="BK6" i="1" s="1"/>
  <c r="BJ14" i="1"/>
  <c r="BK14" i="1" s="1"/>
  <c r="BJ22" i="1"/>
  <c r="BK22" i="1" s="1"/>
  <c r="BJ2" i="1"/>
  <c r="BK2" i="1" s="1"/>
  <c r="BJ7" i="1"/>
  <c r="BK7" i="1" s="1"/>
  <c r="BJ15" i="1"/>
  <c r="BK15" i="1" s="1"/>
  <c r="BJ23" i="1"/>
  <c r="BK23" i="1" s="1"/>
  <c r="BC2" i="1"/>
  <c r="BD2" i="1" s="1"/>
  <c r="BJ8" i="1"/>
  <c r="BK8" i="1" s="1"/>
  <c r="BJ16" i="1"/>
  <c r="BK16" i="1" s="1"/>
  <c r="AN2" i="1"/>
  <c r="AK8" i="1" s="1"/>
  <c r="AN3" i="1"/>
  <c r="AN5" i="1" s="1"/>
  <c r="AF3" i="1"/>
  <c r="AF5" i="1" s="1"/>
  <c r="AF2" i="1"/>
  <c r="AC8" i="1" s="1"/>
  <c r="U34" i="1"/>
  <c r="U50" i="1"/>
  <c r="U66" i="1"/>
  <c r="U82" i="1"/>
  <c r="X3" i="1"/>
  <c r="X5" i="1" s="1"/>
  <c r="X2" i="1"/>
  <c r="U9" i="1" s="1"/>
  <c r="P3" i="1"/>
  <c r="P5" i="1" s="1"/>
  <c r="P2" i="1"/>
  <c r="M7" i="1" s="1"/>
  <c r="BK27" i="1" l="1"/>
  <c r="AD8" i="1"/>
  <c r="AC77" i="1"/>
  <c r="AC63" i="1"/>
  <c r="AD63" i="1" s="1"/>
  <c r="AC50" i="1"/>
  <c r="AD50" i="1" s="1"/>
  <c r="AC38" i="1"/>
  <c r="AC25" i="1"/>
  <c r="AD25" i="1" s="1"/>
  <c r="AC13" i="1"/>
  <c r="AC10" i="1"/>
  <c r="U47" i="1"/>
  <c r="U14" i="1"/>
  <c r="AC7" i="1"/>
  <c r="U18" i="1"/>
  <c r="U80" i="1"/>
  <c r="U48" i="1"/>
  <c r="U16" i="1"/>
  <c r="AC62" i="1"/>
  <c r="AC37" i="1"/>
  <c r="U63" i="1"/>
  <c r="AC2" i="1"/>
  <c r="AC47" i="1"/>
  <c r="U78" i="1"/>
  <c r="AC46" i="1"/>
  <c r="U2" i="1"/>
  <c r="U74" i="1"/>
  <c r="V74" i="1" s="1"/>
  <c r="U58" i="1"/>
  <c r="U42" i="1"/>
  <c r="U26" i="1"/>
  <c r="U10" i="1"/>
  <c r="AC82" i="1"/>
  <c r="AC70" i="1"/>
  <c r="AC57" i="1"/>
  <c r="AD57" i="1" s="1"/>
  <c r="AC45" i="1"/>
  <c r="AD45" i="1" s="1"/>
  <c r="AC31" i="1"/>
  <c r="AC18" i="1"/>
  <c r="AC6" i="1"/>
  <c r="AC33" i="1"/>
  <c r="U88" i="1"/>
  <c r="U72" i="1"/>
  <c r="U56" i="1"/>
  <c r="U40" i="1"/>
  <c r="V40" i="1" s="1"/>
  <c r="U24" i="1"/>
  <c r="U8" i="1"/>
  <c r="AC81" i="1"/>
  <c r="AC69" i="1"/>
  <c r="AC55" i="1"/>
  <c r="AD55" i="1" s="1"/>
  <c r="AC42" i="1"/>
  <c r="AC30" i="1"/>
  <c r="AC17" i="1"/>
  <c r="AD17" i="1" s="1"/>
  <c r="AC5" i="1"/>
  <c r="U31" i="1"/>
  <c r="AC61" i="1"/>
  <c r="AC34" i="1"/>
  <c r="AC9" i="1"/>
  <c r="U46" i="1"/>
  <c r="AC85" i="1"/>
  <c r="AC21" i="1"/>
  <c r="U87" i="1"/>
  <c r="U71" i="1"/>
  <c r="U55" i="1"/>
  <c r="U39" i="1"/>
  <c r="U23" i="1"/>
  <c r="U7" i="1"/>
  <c r="AC79" i="1"/>
  <c r="AC66" i="1"/>
  <c r="AC54" i="1"/>
  <c r="AC41" i="1"/>
  <c r="AC29" i="1"/>
  <c r="AC15" i="1"/>
  <c r="U64" i="1"/>
  <c r="U32" i="1"/>
  <c r="AC74" i="1"/>
  <c r="AC49" i="1"/>
  <c r="AD49" i="1" s="1"/>
  <c r="AC23" i="1"/>
  <c r="U79" i="1"/>
  <c r="U15" i="1"/>
  <c r="AC73" i="1"/>
  <c r="AC22" i="1"/>
  <c r="U62" i="1"/>
  <c r="U30" i="1"/>
  <c r="AC71" i="1"/>
  <c r="AD71" i="1" s="1"/>
  <c r="AC58" i="1"/>
  <c r="U86" i="1"/>
  <c r="U70" i="1"/>
  <c r="U54" i="1"/>
  <c r="U38" i="1"/>
  <c r="U22" i="1"/>
  <c r="U6" i="1"/>
  <c r="AC78" i="1"/>
  <c r="AD78" i="1" s="1"/>
  <c r="AC65" i="1"/>
  <c r="AC53" i="1"/>
  <c r="AC39" i="1"/>
  <c r="AC26" i="1"/>
  <c r="AC14" i="1"/>
  <c r="AD73" i="1"/>
  <c r="AD9" i="1"/>
  <c r="AD31" i="1"/>
  <c r="AD81" i="1"/>
  <c r="AD42" i="1"/>
  <c r="AD74" i="1"/>
  <c r="AD10" i="1"/>
  <c r="AD26" i="1"/>
  <c r="AD58" i="1"/>
  <c r="AD34" i="1"/>
  <c r="AD7" i="1"/>
  <c r="AD18" i="1"/>
  <c r="AD79" i="1"/>
  <c r="AD66" i="1"/>
  <c r="AD41" i="1"/>
  <c r="AD15" i="1"/>
  <c r="AD23" i="1"/>
  <c r="AD47" i="1"/>
  <c r="AD33" i="1"/>
  <c r="AD82" i="1"/>
  <c r="AD65" i="1"/>
  <c r="AD39" i="1"/>
  <c r="M70" i="1"/>
  <c r="M46" i="1"/>
  <c r="M22" i="1"/>
  <c r="N22" i="1" s="1"/>
  <c r="M14" i="1"/>
  <c r="M77" i="1"/>
  <c r="M45" i="1"/>
  <c r="M29" i="1"/>
  <c r="N29" i="1" s="1"/>
  <c r="M76" i="1"/>
  <c r="M44" i="1"/>
  <c r="M12" i="1"/>
  <c r="N12" i="1" s="1"/>
  <c r="M2" i="1"/>
  <c r="N2" i="1" s="1"/>
  <c r="M83" i="1"/>
  <c r="M75" i="1"/>
  <c r="M67" i="1"/>
  <c r="N67" i="1" s="1"/>
  <c r="M59" i="1"/>
  <c r="N59" i="1" s="1"/>
  <c r="M51" i="1"/>
  <c r="M43" i="1"/>
  <c r="M35" i="1"/>
  <c r="N35" i="1" s="1"/>
  <c r="M27" i="1"/>
  <c r="N27" i="1" s="1"/>
  <c r="M19" i="1"/>
  <c r="M11" i="1"/>
  <c r="M3" i="1"/>
  <c r="N3" i="1" s="1"/>
  <c r="U85" i="1"/>
  <c r="V85" i="1" s="1"/>
  <c r="U77" i="1"/>
  <c r="U69" i="1"/>
  <c r="U61" i="1"/>
  <c r="V61" i="1" s="1"/>
  <c r="U53" i="1"/>
  <c r="V53" i="1" s="1"/>
  <c r="U45" i="1"/>
  <c r="U37" i="1"/>
  <c r="U29" i="1"/>
  <c r="U21" i="1"/>
  <c r="V21" i="1" s="1"/>
  <c r="U13" i="1"/>
  <c r="U5" i="1"/>
  <c r="AC84" i="1"/>
  <c r="AC76" i="1"/>
  <c r="AC68" i="1"/>
  <c r="AC60" i="1"/>
  <c r="AC52" i="1"/>
  <c r="AC44" i="1"/>
  <c r="AC36" i="1"/>
  <c r="AC28" i="1"/>
  <c r="AC20" i="1"/>
  <c r="AC12" i="1"/>
  <c r="AC4" i="1"/>
  <c r="M54" i="1"/>
  <c r="M53" i="1"/>
  <c r="M5" i="1"/>
  <c r="N5" i="1" s="1"/>
  <c r="M60" i="1"/>
  <c r="M28" i="1"/>
  <c r="M4" i="1"/>
  <c r="N4" i="1" s="1"/>
  <c r="M90" i="1"/>
  <c r="N90" i="1" s="1"/>
  <c r="M82" i="1"/>
  <c r="M74" i="1"/>
  <c r="M66" i="1"/>
  <c r="M58" i="1"/>
  <c r="N58" i="1" s="1"/>
  <c r="M50" i="1"/>
  <c r="M42" i="1"/>
  <c r="M34" i="1"/>
  <c r="M26" i="1"/>
  <c r="N26" i="1" s="1"/>
  <c r="M18" i="1"/>
  <c r="M10" i="1"/>
  <c r="U84" i="1"/>
  <c r="U76" i="1"/>
  <c r="V76" i="1" s="1"/>
  <c r="U68" i="1"/>
  <c r="U60" i="1"/>
  <c r="U52" i="1"/>
  <c r="V52" i="1" s="1"/>
  <c r="U44" i="1"/>
  <c r="V44" i="1" s="1"/>
  <c r="U36" i="1"/>
  <c r="U28" i="1"/>
  <c r="U20" i="1"/>
  <c r="U12" i="1"/>
  <c r="V12" i="1" s="1"/>
  <c r="U4" i="1"/>
  <c r="AC83" i="1"/>
  <c r="AD83" i="1" s="1"/>
  <c r="AC75" i="1"/>
  <c r="AD75" i="1" s="1"/>
  <c r="AC67" i="1"/>
  <c r="AD67" i="1" s="1"/>
  <c r="AC59" i="1"/>
  <c r="AC51" i="1"/>
  <c r="AC43" i="1"/>
  <c r="AC35" i="1"/>
  <c r="AD35" i="1" s="1"/>
  <c r="AC27" i="1"/>
  <c r="AD27" i="1" s="1"/>
  <c r="AC19" i="1"/>
  <c r="AD19" i="1" s="1"/>
  <c r="AC11" i="1"/>
  <c r="AD11" i="1" s="1"/>
  <c r="AC3" i="1"/>
  <c r="AD3" i="1" s="1"/>
  <c r="M86" i="1"/>
  <c r="N86" i="1" s="1"/>
  <c r="M38" i="1"/>
  <c r="N38" i="1" s="1"/>
  <c r="M85" i="1"/>
  <c r="N85" i="1" s="1"/>
  <c r="M37" i="1"/>
  <c r="M13" i="1"/>
  <c r="M84" i="1"/>
  <c r="M68" i="1"/>
  <c r="N68" i="1" s="1"/>
  <c r="M52" i="1"/>
  <c r="M36" i="1"/>
  <c r="M20" i="1"/>
  <c r="M89" i="1"/>
  <c r="M81" i="1"/>
  <c r="N81" i="1" s="1"/>
  <c r="M73" i="1"/>
  <c r="M65" i="1"/>
  <c r="N65" i="1" s="1"/>
  <c r="M57" i="1"/>
  <c r="N57" i="1" s="1"/>
  <c r="M49" i="1"/>
  <c r="N49" i="1" s="1"/>
  <c r="M41" i="1"/>
  <c r="N41" i="1" s="1"/>
  <c r="M33" i="1"/>
  <c r="M25" i="1"/>
  <c r="M17" i="1"/>
  <c r="N17" i="1" s="1"/>
  <c r="M9" i="1"/>
  <c r="V4" i="1"/>
  <c r="U83" i="1"/>
  <c r="V83" i="1" s="1"/>
  <c r="U75" i="1"/>
  <c r="V75" i="1" s="1"/>
  <c r="U67" i="1"/>
  <c r="U59" i="1"/>
  <c r="U51" i="1"/>
  <c r="V51" i="1" s="1"/>
  <c r="U43" i="1"/>
  <c r="V43" i="1" s="1"/>
  <c r="U35" i="1"/>
  <c r="U27" i="1"/>
  <c r="U19" i="1"/>
  <c r="V19" i="1" s="1"/>
  <c r="U11" i="1"/>
  <c r="U3" i="1"/>
  <c r="M78" i="1"/>
  <c r="N78" i="1" s="1"/>
  <c r="M30" i="1"/>
  <c r="M6" i="1"/>
  <c r="N6" i="1" s="1"/>
  <c r="M69" i="1"/>
  <c r="N69" i="1" s="1"/>
  <c r="M21" i="1"/>
  <c r="N21" i="1" s="1"/>
  <c r="M80" i="1"/>
  <c r="N80" i="1" s="1"/>
  <c r="M48" i="1"/>
  <c r="N48" i="1" s="1"/>
  <c r="M16" i="1"/>
  <c r="N16" i="1" s="1"/>
  <c r="M62" i="1"/>
  <c r="N62" i="1" s="1"/>
  <c r="M61" i="1"/>
  <c r="N61" i="1" s="1"/>
  <c r="M88" i="1"/>
  <c r="N88" i="1" s="1"/>
  <c r="M72" i="1"/>
  <c r="M64" i="1"/>
  <c r="N64" i="1" s="1"/>
  <c r="M56" i="1"/>
  <c r="N56" i="1" s="1"/>
  <c r="M40" i="1"/>
  <c r="N40" i="1" s="1"/>
  <c r="M32" i="1"/>
  <c r="N32" i="1" s="1"/>
  <c r="M24" i="1"/>
  <c r="N24" i="1" s="1"/>
  <c r="M8" i="1"/>
  <c r="M87" i="1"/>
  <c r="N87" i="1" s="1"/>
  <c r="M79" i="1"/>
  <c r="N79" i="1" s="1"/>
  <c r="M71" i="1"/>
  <c r="M63" i="1"/>
  <c r="N63" i="1" s="1"/>
  <c r="M55" i="1"/>
  <c r="N55" i="1" s="1"/>
  <c r="M47" i="1"/>
  <c r="M39" i="1"/>
  <c r="N39" i="1" s="1"/>
  <c r="M31" i="1"/>
  <c r="M23" i="1"/>
  <c r="M15" i="1"/>
  <c r="U89" i="1"/>
  <c r="V89" i="1" s="1"/>
  <c r="U81" i="1"/>
  <c r="V81" i="1" s="1"/>
  <c r="U73" i="1"/>
  <c r="U65" i="1"/>
  <c r="U57" i="1"/>
  <c r="U49" i="1"/>
  <c r="V49" i="1" s="1"/>
  <c r="U41" i="1"/>
  <c r="V41" i="1" s="1"/>
  <c r="U33" i="1"/>
  <c r="U25" i="1"/>
  <c r="V25" i="1" s="1"/>
  <c r="U17" i="1"/>
  <c r="V17" i="1" s="1"/>
  <c r="AC80" i="1"/>
  <c r="AD80" i="1" s="1"/>
  <c r="AC72" i="1"/>
  <c r="AD72" i="1" s="1"/>
  <c r="AC64" i="1"/>
  <c r="AD64" i="1" s="1"/>
  <c r="AC56" i="1"/>
  <c r="AD56" i="1" s="1"/>
  <c r="AC48" i="1"/>
  <c r="AD48" i="1" s="1"/>
  <c r="AC40" i="1"/>
  <c r="AD40" i="1" s="1"/>
  <c r="AC32" i="1"/>
  <c r="AD32" i="1" s="1"/>
  <c r="AC24" i="1"/>
  <c r="AD24" i="1" s="1"/>
  <c r="AC16" i="1"/>
  <c r="AD16" i="1" s="1"/>
  <c r="AL8" i="1"/>
  <c r="AK62" i="1"/>
  <c r="AL62" i="1" s="1"/>
  <c r="AK22" i="1"/>
  <c r="AL22" i="1" s="1"/>
  <c r="AK61" i="1"/>
  <c r="AL61" i="1" s="1"/>
  <c r="AK6" i="1"/>
  <c r="AL6" i="1" s="1"/>
  <c r="AK2" i="1"/>
  <c r="AL2" i="1" s="1"/>
  <c r="AK76" i="1"/>
  <c r="AL76" i="1" s="1"/>
  <c r="AK68" i="1"/>
  <c r="AL68" i="1" s="1"/>
  <c r="AK60" i="1"/>
  <c r="AL60" i="1" s="1"/>
  <c r="AK52" i="1"/>
  <c r="AL52" i="1" s="1"/>
  <c r="AK44" i="1"/>
  <c r="AL44" i="1" s="1"/>
  <c r="AK36" i="1"/>
  <c r="AL36" i="1" s="1"/>
  <c r="AK28" i="1"/>
  <c r="AL28" i="1" s="1"/>
  <c r="AK20" i="1"/>
  <c r="AL20" i="1" s="1"/>
  <c r="AK12" i="1"/>
  <c r="AL12" i="1" s="1"/>
  <c r="AK5" i="1"/>
  <c r="AL5" i="1" s="1"/>
  <c r="AK54" i="1"/>
  <c r="AL54" i="1" s="1"/>
  <c r="AK14" i="1"/>
  <c r="AL14" i="1" s="1"/>
  <c r="AK53" i="1"/>
  <c r="AL53" i="1" s="1"/>
  <c r="AK13" i="1"/>
  <c r="AL13" i="1" s="1"/>
  <c r="AK67" i="1"/>
  <c r="AL67" i="1" s="1"/>
  <c r="AK27" i="1"/>
  <c r="AL27" i="1" s="1"/>
  <c r="AK19" i="1"/>
  <c r="AL19" i="1" s="1"/>
  <c r="AK46" i="1"/>
  <c r="AL46" i="1" s="1"/>
  <c r="AK77" i="1"/>
  <c r="AL77" i="1" s="1"/>
  <c r="AK21" i="1"/>
  <c r="AL21" i="1" s="1"/>
  <c r="AK51" i="1"/>
  <c r="AL51" i="1" s="1"/>
  <c r="AK80" i="1"/>
  <c r="AL80" i="1" s="1"/>
  <c r="AK74" i="1"/>
  <c r="AL74" i="1" s="1"/>
  <c r="AK66" i="1"/>
  <c r="AL66" i="1" s="1"/>
  <c r="AK58" i="1"/>
  <c r="AL58" i="1" s="1"/>
  <c r="AK50" i="1"/>
  <c r="AL50" i="1" s="1"/>
  <c r="AK42" i="1"/>
  <c r="AL42" i="1" s="1"/>
  <c r="AK34" i="1"/>
  <c r="AL34" i="1" s="1"/>
  <c r="AK26" i="1"/>
  <c r="AL26" i="1" s="1"/>
  <c r="AK18" i="1"/>
  <c r="AL18" i="1" s="1"/>
  <c r="AK10" i="1"/>
  <c r="AL10" i="1" s="1"/>
  <c r="AK3" i="1"/>
  <c r="AL3" i="1" s="1"/>
  <c r="AK45" i="1"/>
  <c r="AL45" i="1" s="1"/>
  <c r="AK75" i="1"/>
  <c r="AL75" i="1" s="1"/>
  <c r="AK59" i="1"/>
  <c r="AL59" i="1" s="1"/>
  <c r="AK35" i="1"/>
  <c r="AL35" i="1" s="1"/>
  <c r="AK11" i="1"/>
  <c r="AL11" i="1" s="1"/>
  <c r="AK73" i="1"/>
  <c r="AL73" i="1" s="1"/>
  <c r="AK65" i="1"/>
  <c r="AL65" i="1" s="1"/>
  <c r="AK57" i="1"/>
  <c r="AL57" i="1" s="1"/>
  <c r="AK49" i="1"/>
  <c r="AL49" i="1" s="1"/>
  <c r="AK41" i="1"/>
  <c r="AL41" i="1" s="1"/>
  <c r="AK33" i="1"/>
  <c r="AL33" i="1" s="1"/>
  <c r="AK25" i="1"/>
  <c r="AL25" i="1" s="1"/>
  <c r="AK17" i="1"/>
  <c r="AL17" i="1" s="1"/>
  <c r="AK9" i="1"/>
  <c r="AL9" i="1" s="1"/>
  <c r="AK70" i="1"/>
  <c r="AL70" i="1" s="1"/>
  <c r="AK38" i="1"/>
  <c r="AL38" i="1" s="1"/>
  <c r="AK7" i="1"/>
  <c r="AL7" i="1" s="1"/>
  <c r="AK69" i="1"/>
  <c r="AL69" i="1" s="1"/>
  <c r="AK29" i="1"/>
  <c r="AL29" i="1" s="1"/>
  <c r="AK43" i="1"/>
  <c r="AL43" i="1" s="1"/>
  <c r="AK79" i="1"/>
  <c r="AL79" i="1" s="1"/>
  <c r="AK72" i="1"/>
  <c r="AL72" i="1" s="1"/>
  <c r="AK64" i="1"/>
  <c r="AL64" i="1" s="1"/>
  <c r="AK56" i="1"/>
  <c r="AL56" i="1" s="1"/>
  <c r="AK48" i="1"/>
  <c r="AL48" i="1" s="1"/>
  <c r="AK40" i="1"/>
  <c r="AL40" i="1" s="1"/>
  <c r="AK32" i="1"/>
  <c r="AL32" i="1" s="1"/>
  <c r="AK24" i="1"/>
  <c r="AL24" i="1" s="1"/>
  <c r="AK16" i="1"/>
  <c r="AL16" i="1" s="1"/>
  <c r="AK30" i="1"/>
  <c r="AL30" i="1" s="1"/>
  <c r="AK37" i="1"/>
  <c r="AL37" i="1" s="1"/>
  <c r="AK81" i="1"/>
  <c r="AL81" i="1" s="1"/>
  <c r="AK4" i="1"/>
  <c r="AL4" i="1" s="1"/>
  <c r="AK78" i="1"/>
  <c r="AL78" i="1" s="1"/>
  <c r="AK71" i="1"/>
  <c r="AL71" i="1" s="1"/>
  <c r="AK63" i="1"/>
  <c r="AL63" i="1" s="1"/>
  <c r="AK55" i="1"/>
  <c r="AL55" i="1" s="1"/>
  <c r="AK47" i="1"/>
  <c r="AL47" i="1" s="1"/>
  <c r="AK39" i="1"/>
  <c r="AL39" i="1" s="1"/>
  <c r="AK31" i="1"/>
  <c r="AL31" i="1" s="1"/>
  <c r="AK23" i="1"/>
  <c r="AL23" i="1" s="1"/>
  <c r="AK15" i="1"/>
  <c r="AL15" i="1" s="1"/>
  <c r="AD2" i="1"/>
  <c r="AD70" i="1"/>
  <c r="AD62" i="1"/>
  <c r="AD54" i="1"/>
  <c r="AD46" i="1"/>
  <c r="AD38" i="1"/>
  <c r="AD30" i="1"/>
  <c r="AD22" i="1"/>
  <c r="AD14" i="1"/>
  <c r="AD6" i="1"/>
  <c r="AD85" i="1"/>
  <c r="AD77" i="1"/>
  <c r="AD69" i="1"/>
  <c r="AD61" i="1"/>
  <c r="AD53" i="1"/>
  <c r="AD37" i="1"/>
  <c r="AD29" i="1"/>
  <c r="AD21" i="1"/>
  <c r="AD13" i="1"/>
  <c r="AD5" i="1"/>
  <c r="AD84" i="1"/>
  <c r="AD76" i="1"/>
  <c r="AD68" i="1"/>
  <c r="AD60" i="1"/>
  <c r="AD52" i="1"/>
  <c r="AD44" i="1"/>
  <c r="AD36" i="1"/>
  <c r="AD28" i="1"/>
  <c r="AD20" i="1"/>
  <c r="AD12" i="1"/>
  <c r="AD4" i="1"/>
  <c r="AD59" i="1"/>
  <c r="AD51" i="1"/>
  <c r="AD43" i="1"/>
  <c r="V67" i="1"/>
  <c r="V27" i="1"/>
  <c r="V34" i="1"/>
  <c r="V73" i="1"/>
  <c r="V57" i="1"/>
  <c r="V9" i="1"/>
  <c r="V88" i="1"/>
  <c r="V80" i="1"/>
  <c r="V72" i="1"/>
  <c r="V64" i="1"/>
  <c r="V56" i="1"/>
  <c r="V48" i="1"/>
  <c r="V32" i="1"/>
  <c r="V24" i="1"/>
  <c r="V16" i="1"/>
  <c r="V8" i="1"/>
  <c r="V35" i="1"/>
  <c r="V2" i="1"/>
  <c r="V42" i="1"/>
  <c r="V87" i="1"/>
  <c r="V79" i="1"/>
  <c r="V71" i="1"/>
  <c r="V63" i="1"/>
  <c r="V55" i="1"/>
  <c r="V47" i="1"/>
  <c r="V39" i="1"/>
  <c r="V31" i="1"/>
  <c r="V23" i="1"/>
  <c r="V15" i="1"/>
  <c r="V7" i="1"/>
  <c r="V59" i="1"/>
  <c r="V3" i="1"/>
  <c r="V82" i="1"/>
  <c r="V50" i="1"/>
  <c r="V18" i="1"/>
  <c r="V65" i="1"/>
  <c r="V86" i="1"/>
  <c r="V62" i="1"/>
  <c r="V54" i="1"/>
  <c r="V46" i="1"/>
  <c r="V38" i="1"/>
  <c r="V30" i="1"/>
  <c r="V22" i="1"/>
  <c r="V14" i="1"/>
  <c r="V6" i="1"/>
  <c r="V11" i="1"/>
  <c r="V66" i="1"/>
  <c r="V10" i="1"/>
  <c r="V70" i="1"/>
  <c r="V77" i="1"/>
  <c r="V69" i="1"/>
  <c r="V45" i="1"/>
  <c r="V37" i="1"/>
  <c r="V29" i="1"/>
  <c r="V13" i="1"/>
  <c r="V5" i="1"/>
  <c r="V58" i="1"/>
  <c r="V26" i="1"/>
  <c r="V33" i="1"/>
  <c r="V78" i="1"/>
  <c r="V84" i="1"/>
  <c r="V68" i="1"/>
  <c r="V60" i="1"/>
  <c r="V36" i="1"/>
  <c r="V28" i="1"/>
  <c r="V20" i="1"/>
  <c r="N77" i="1"/>
  <c r="N54" i="1"/>
  <c r="N73" i="1"/>
  <c r="N46" i="1"/>
  <c r="N8" i="1"/>
  <c r="N82" i="1"/>
  <c r="N23" i="1"/>
  <c r="N72" i="1"/>
  <c r="N45" i="1"/>
  <c r="N7" i="1"/>
  <c r="N89" i="1"/>
  <c r="N71" i="1"/>
  <c r="N53" i="1"/>
  <c r="N37" i="1"/>
  <c r="N70" i="1"/>
  <c r="N47" i="1"/>
  <c r="N31" i="1"/>
  <c r="N74" i="1"/>
  <c r="N66" i="1"/>
  <c r="N50" i="1"/>
  <c r="N42" i="1"/>
  <c r="N34" i="1"/>
  <c r="N30" i="1"/>
  <c r="N33" i="1"/>
  <c r="N14" i="1"/>
  <c r="N18" i="1"/>
  <c r="N25" i="1"/>
  <c r="N15" i="1"/>
  <c r="N13" i="1"/>
  <c r="N10" i="1"/>
  <c r="N9" i="1"/>
  <c r="N84" i="1"/>
  <c r="N76" i="1"/>
  <c r="N60" i="1"/>
  <c r="N52" i="1"/>
  <c r="N44" i="1"/>
  <c r="N36" i="1"/>
  <c r="N28" i="1"/>
  <c r="N20" i="1"/>
  <c r="N83" i="1"/>
  <c r="N75" i="1"/>
  <c r="N51" i="1"/>
  <c r="N43" i="1"/>
  <c r="N19" i="1"/>
  <c r="N11" i="1"/>
  <c r="H3" i="1"/>
  <c r="H5" i="1" s="1"/>
  <c r="H2" i="1"/>
  <c r="E7" i="1" l="1"/>
  <c r="F7" i="1" s="1"/>
  <c r="E15" i="1"/>
  <c r="F15" i="1" s="1"/>
  <c r="E23" i="1"/>
  <c r="F23" i="1" s="1"/>
  <c r="E31" i="1"/>
  <c r="F31" i="1" s="1"/>
  <c r="E39" i="1"/>
  <c r="F39" i="1" s="1"/>
  <c r="E47" i="1"/>
  <c r="F47" i="1" s="1"/>
  <c r="E55" i="1"/>
  <c r="F55" i="1" s="1"/>
  <c r="E63" i="1"/>
  <c r="F63" i="1" s="1"/>
  <c r="E71" i="1"/>
  <c r="F71" i="1" s="1"/>
  <c r="E79" i="1"/>
  <c r="F79" i="1" s="1"/>
  <c r="E87" i="1"/>
  <c r="F87" i="1" s="1"/>
  <c r="E8" i="1"/>
  <c r="F8" i="1" s="1"/>
  <c r="E16" i="1"/>
  <c r="F16" i="1" s="1"/>
  <c r="E24" i="1"/>
  <c r="F24" i="1" s="1"/>
  <c r="E32" i="1"/>
  <c r="F32" i="1" s="1"/>
  <c r="E40" i="1"/>
  <c r="F40" i="1" s="1"/>
  <c r="E56" i="1"/>
  <c r="F56" i="1" s="1"/>
  <c r="E64" i="1"/>
  <c r="F64" i="1" s="1"/>
  <c r="E72" i="1"/>
  <c r="F72" i="1" s="1"/>
  <c r="E80" i="1"/>
  <c r="F80" i="1" s="1"/>
  <c r="E88" i="1"/>
  <c r="F88" i="1" s="1"/>
  <c r="E11" i="1"/>
  <c r="F11" i="1" s="1"/>
  <c r="E43" i="1"/>
  <c r="F43" i="1" s="1"/>
  <c r="E59" i="1"/>
  <c r="F59" i="1" s="1"/>
  <c r="E83" i="1"/>
  <c r="F83" i="1" s="1"/>
  <c r="E4" i="1"/>
  <c r="F4" i="1" s="1"/>
  <c r="E20" i="1"/>
  <c r="F20" i="1" s="1"/>
  <c r="E44" i="1"/>
  <c r="F44" i="1" s="1"/>
  <c r="E60" i="1"/>
  <c r="F60" i="1" s="1"/>
  <c r="E76" i="1"/>
  <c r="F76" i="1" s="1"/>
  <c r="E13" i="1"/>
  <c r="F13" i="1" s="1"/>
  <c r="E29" i="1"/>
  <c r="F29" i="1" s="1"/>
  <c r="E37" i="1"/>
  <c r="F37" i="1" s="1"/>
  <c r="E53" i="1"/>
  <c r="F53" i="1" s="1"/>
  <c r="E69" i="1"/>
  <c r="F69" i="1" s="1"/>
  <c r="E85" i="1"/>
  <c r="F85" i="1" s="1"/>
  <c r="E14" i="1"/>
  <c r="F14" i="1" s="1"/>
  <c r="E22" i="1"/>
  <c r="F22" i="1" s="1"/>
  <c r="E38" i="1"/>
  <c r="F38" i="1" s="1"/>
  <c r="E48" i="1"/>
  <c r="F48" i="1" s="1"/>
  <c r="E9" i="1"/>
  <c r="F9" i="1" s="1"/>
  <c r="E17" i="1"/>
  <c r="F17" i="1" s="1"/>
  <c r="E25" i="1"/>
  <c r="F25" i="1" s="1"/>
  <c r="E33" i="1"/>
  <c r="F33" i="1" s="1"/>
  <c r="E41" i="1"/>
  <c r="F41" i="1" s="1"/>
  <c r="E49" i="1"/>
  <c r="F49" i="1" s="1"/>
  <c r="E57" i="1"/>
  <c r="F57" i="1" s="1"/>
  <c r="E65" i="1"/>
  <c r="F65" i="1" s="1"/>
  <c r="E73" i="1"/>
  <c r="F73" i="1" s="1"/>
  <c r="E81" i="1"/>
  <c r="F81" i="1" s="1"/>
  <c r="E89" i="1"/>
  <c r="F89" i="1" s="1"/>
  <c r="E10" i="1"/>
  <c r="F10" i="1" s="1"/>
  <c r="E18" i="1"/>
  <c r="F18" i="1" s="1"/>
  <c r="E26" i="1"/>
  <c r="F26" i="1" s="1"/>
  <c r="E34" i="1"/>
  <c r="F34" i="1" s="1"/>
  <c r="E42" i="1"/>
  <c r="F42" i="1" s="1"/>
  <c r="E50" i="1"/>
  <c r="F50" i="1" s="1"/>
  <c r="E58" i="1"/>
  <c r="F58" i="1" s="1"/>
  <c r="E66" i="1"/>
  <c r="F66" i="1" s="1"/>
  <c r="E74" i="1"/>
  <c r="F74" i="1" s="1"/>
  <c r="E82" i="1"/>
  <c r="F82" i="1" s="1"/>
  <c r="E90" i="1"/>
  <c r="F90" i="1" s="1"/>
  <c r="E3" i="1"/>
  <c r="F3" i="1" s="1"/>
  <c r="E19" i="1"/>
  <c r="F19" i="1" s="1"/>
  <c r="E35" i="1"/>
  <c r="F35" i="1" s="1"/>
  <c r="E51" i="1"/>
  <c r="F51" i="1" s="1"/>
  <c r="E67" i="1"/>
  <c r="F67" i="1" s="1"/>
  <c r="E91" i="1"/>
  <c r="F91" i="1" s="1"/>
  <c r="E12" i="1"/>
  <c r="F12" i="1" s="1"/>
  <c r="E36" i="1"/>
  <c r="F36" i="1" s="1"/>
  <c r="E52" i="1"/>
  <c r="F52" i="1" s="1"/>
  <c r="E68" i="1"/>
  <c r="F68" i="1" s="1"/>
  <c r="E92" i="1"/>
  <c r="F92" i="1" s="1"/>
  <c r="E27" i="1"/>
  <c r="F27" i="1" s="1"/>
  <c r="E75" i="1"/>
  <c r="F75" i="1" s="1"/>
  <c r="E28" i="1"/>
  <c r="F28" i="1" s="1"/>
  <c r="E84" i="1"/>
  <c r="F84" i="1" s="1"/>
  <c r="E5" i="1"/>
  <c r="F5" i="1" s="1"/>
  <c r="E21" i="1"/>
  <c r="F21" i="1" s="1"/>
  <c r="E45" i="1"/>
  <c r="F45" i="1" s="1"/>
  <c r="E61" i="1"/>
  <c r="F61" i="1" s="1"/>
  <c r="E77" i="1"/>
  <c r="F77" i="1" s="1"/>
  <c r="E93" i="1"/>
  <c r="F93" i="1" s="1"/>
  <c r="E6" i="1"/>
  <c r="F6" i="1" s="1"/>
  <c r="E30" i="1"/>
  <c r="F30" i="1" s="1"/>
  <c r="E46" i="1"/>
  <c r="F46" i="1" s="1"/>
  <c r="E78" i="1"/>
  <c r="F78" i="1" s="1"/>
  <c r="E2" i="1"/>
  <c r="F2" i="1" s="1"/>
  <c r="E54" i="1"/>
  <c r="F54" i="1" s="1"/>
  <c r="E62" i="1"/>
  <c r="F62" i="1" s="1"/>
  <c r="E70" i="1"/>
  <c r="F70" i="1" s="1"/>
  <c r="E86" i="1"/>
  <c r="F86" i="1" s="1"/>
</calcChain>
</file>

<file path=xl/sharedStrings.xml><?xml version="1.0" encoding="utf-8"?>
<sst xmlns="http://schemas.openxmlformats.org/spreadsheetml/2006/main" count="752" uniqueCount="148">
  <si>
    <t>1:1-8</t>
  </si>
  <si>
    <t>1:9-18</t>
  </si>
  <si>
    <t>1:19-28</t>
  </si>
  <si>
    <t>1:29-39</t>
  </si>
  <si>
    <t>1:40-51</t>
  </si>
  <si>
    <t>2:1-12</t>
  </si>
  <si>
    <t>2:13-22</t>
  </si>
  <si>
    <t>2:23-25&amp;3:1-8</t>
  </si>
  <si>
    <t>3:9-21</t>
  </si>
  <si>
    <t>3:22-30</t>
  </si>
  <si>
    <t>3:31-36&amp;4:1-3</t>
  </si>
  <si>
    <t>4:4-14</t>
  </si>
  <si>
    <t>4:15-26</t>
  </si>
  <si>
    <t>4:27-38</t>
  </si>
  <si>
    <t>4:39-46</t>
  </si>
  <si>
    <t>4:47-54</t>
  </si>
  <si>
    <t>5:1-9</t>
  </si>
  <si>
    <t>5:10-18</t>
  </si>
  <si>
    <t>5:19-29</t>
  </si>
  <si>
    <t>5:30-39</t>
  </si>
  <si>
    <t>5:40-47</t>
  </si>
  <si>
    <t>6:1-13</t>
  </si>
  <si>
    <t>6:14-21</t>
  </si>
  <si>
    <t>6:22-29</t>
  </si>
  <si>
    <t>6:30-40</t>
  </si>
  <si>
    <t>6:41-51</t>
  </si>
  <si>
    <t>6:52-59</t>
  </si>
  <si>
    <t>6:60-71</t>
  </si>
  <si>
    <t>7:1-13</t>
  </si>
  <si>
    <t>7:14-24</t>
  </si>
  <si>
    <t>7:37-44</t>
  </si>
  <si>
    <t>7:45-52</t>
  </si>
  <si>
    <t>7:53-53&amp;8:1-11</t>
  </si>
  <si>
    <t>8:12-20</t>
  </si>
  <si>
    <t>8:21-29</t>
  </si>
  <si>
    <t>8:30-41</t>
  </si>
  <si>
    <t>8:41-51</t>
  </si>
  <si>
    <t>8:52-59</t>
  </si>
  <si>
    <t>9:1-12</t>
  </si>
  <si>
    <t>9:13-23</t>
  </si>
  <si>
    <t>9:23-29</t>
  </si>
  <si>
    <t>9:30-41</t>
  </si>
  <si>
    <t>10:1-10</t>
  </si>
  <si>
    <t>10:11-21</t>
  </si>
  <si>
    <t>10:22-30</t>
  </si>
  <si>
    <t>10:31-39</t>
  </si>
  <si>
    <t>10:40-42</t>
  </si>
  <si>
    <t>11:1-10</t>
  </si>
  <si>
    <t>11:11-21</t>
  </si>
  <si>
    <t>11:22-31</t>
  </si>
  <si>
    <t>11:32-44</t>
  </si>
  <si>
    <t>11:45-54</t>
  </si>
  <si>
    <t>11:55-57</t>
  </si>
  <si>
    <t>12:1-11</t>
  </si>
  <si>
    <t>12:12-19</t>
  </si>
  <si>
    <t>12:20-26</t>
  </si>
  <si>
    <t>12:27-33</t>
  </si>
  <si>
    <t>12:34-40</t>
  </si>
  <si>
    <t>12:41-50</t>
  </si>
  <si>
    <t>13:1-11</t>
  </si>
  <si>
    <t>13:12-20</t>
  </si>
  <si>
    <t>13:21-30</t>
  </si>
  <si>
    <t>13:31-38</t>
  </si>
  <si>
    <t>14:1-11</t>
  </si>
  <si>
    <t>14:12-21</t>
  </si>
  <si>
    <t>14:22-31</t>
  </si>
  <si>
    <t>15:1-8</t>
  </si>
  <si>
    <t>15:9-17</t>
  </si>
  <si>
    <t>15:18-27</t>
  </si>
  <si>
    <t>16:1-11</t>
  </si>
  <si>
    <t>16:12-22</t>
  </si>
  <si>
    <t>16:23-33</t>
  </si>
  <si>
    <t>17:1-8</t>
  </si>
  <si>
    <t>17:9-19</t>
  </si>
  <si>
    <t>17:20-26</t>
  </si>
  <si>
    <t>18:1-9</t>
  </si>
  <si>
    <t>18:10-18</t>
  </si>
  <si>
    <t>18:19-28</t>
  </si>
  <si>
    <t>18:29-37</t>
  </si>
  <si>
    <t>18:38-40&amp;19:1-5</t>
  </si>
  <si>
    <t>19:6-11</t>
  </si>
  <si>
    <t>19:12-19</t>
  </si>
  <si>
    <t>19:20-27</t>
  </si>
  <si>
    <t>19:28-37</t>
  </si>
  <si>
    <t>19:38-42</t>
  </si>
  <si>
    <t>20:1-10</t>
  </si>
  <si>
    <t>20:11-18</t>
  </si>
  <si>
    <t>20:19-29</t>
  </si>
  <si>
    <t>20:30-31</t>
  </si>
  <si>
    <t>21:1-11</t>
  </si>
  <si>
    <t>21:12-17</t>
  </si>
  <si>
    <t>21:18-25</t>
  </si>
  <si>
    <t>Mean =</t>
  </si>
  <si>
    <t>Stdev =</t>
  </si>
  <si>
    <t>Tau =</t>
  </si>
  <si>
    <t>Tau*S =</t>
  </si>
  <si>
    <t>First Test</t>
  </si>
  <si>
    <t>Passage</t>
  </si>
  <si>
    <t>Words</t>
  </si>
  <si>
    <t>Delta</t>
  </si>
  <si>
    <t>Data</t>
  </si>
  <si>
    <t>Outlier?</t>
  </si>
  <si>
    <t>Second Test</t>
  </si>
  <si>
    <t>3t</t>
  </si>
  <si>
    <t>4t</t>
  </si>
  <si>
    <t>5t</t>
  </si>
  <si>
    <t>Final</t>
  </si>
  <si>
    <t>Format for Thesis</t>
  </si>
  <si>
    <t>Giblins structure</t>
  </si>
  <si>
    <t>1:1-18</t>
  </si>
  <si>
    <t>4:1-54</t>
  </si>
  <si>
    <t xml:space="preserve"> </t>
  </si>
  <si>
    <t>5:1-47</t>
  </si>
  <si>
    <t>6:1-71</t>
  </si>
  <si>
    <t>7:14-36</t>
  </si>
  <si>
    <t>7:37-8:59</t>
  </si>
  <si>
    <t>9:1-10:21</t>
  </si>
  <si>
    <t>10:22-39</t>
  </si>
  <si>
    <t>11:1-54</t>
  </si>
  <si>
    <t>12:12-36</t>
  </si>
  <si>
    <t>12:37-50</t>
  </si>
  <si>
    <t>13:1-14:31</t>
  </si>
  <si>
    <t>15:1-16:33</t>
  </si>
  <si>
    <t>17:1-26</t>
  </si>
  <si>
    <t>20:1-29</t>
  </si>
  <si>
    <t>21:1-25</t>
  </si>
  <si>
    <t>Proposal</t>
  </si>
  <si>
    <t>Vocabulary Tokens</t>
  </si>
  <si>
    <t>1:19-2:12</t>
  </si>
  <si>
    <t>2:13-3:36</t>
  </si>
  <si>
    <t>18:1-19:42</t>
  </si>
  <si>
    <t>18:38-19:5</t>
  </si>
  <si>
    <t>7:53-8:11</t>
  </si>
  <si>
    <t>3:31-4:3</t>
  </si>
  <si>
    <t>2:23-3:8</t>
  </si>
  <si>
    <t>Modified Giblin</t>
  </si>
  <si>
    <t>1:19-51&amp;2:1-12</t>
  </si>
  <si>
    <t>2:13-25&amp;3:1-36</t>
  </si>
  <si>
    <t>7:1-10:42</t>
  </si>
  <si>
    <t>9:1-41&amp;10:1-21</t>
  </si>
  <si>
    <t>11:1-20:29</t>
  </si>
  <si>
    <t>13:1-38&amp;14:1-31</t>
  </si>
  <si>
    <t>15:1-27&amp;16:1-33</t>
  </si>
  <si>
    <t>18:1-40&amp;19:1-42</t>
  </si>
  <si>
    <t>7:37-52</t>
  </si>
  <si>
    <t>8:12-59</t>
  </si>
  <si>
    <t>First Passage</t>
  </si>
  <si>
    <t>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</si>
</sst>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0" fillId="2" borderId="0" xfId="0" applyFill="1"/>
    <xf numFmtId="0" fontId="0" fillId="3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D9D3-EBB3-2548-AAF3-871C6791DD66}">
  <dimension ref="B1:BS93"/>
  <sheetViews>
    <sheetView tabSelected="1" topLeftCell="BC1" workbookViewId="0">
      <selection activeCell="BS1" sqref="BS1"/>
    </sheetView>
  </sheetViews>
  <sheetFormatPr baseColWidth="10" defaultRowHeight="16"/>
  <sheetData>
    <row r="1" spans="2:71">
      <c r="B1" t="s">
        <v>96</v>
      </c>
      <c r="C1" t="s">
        <v>146</v>
      </c>
      <c r="D1" t="s">
        <v>98</v>
      </c>
      <c r="E1" t="s">
        <v>99</v>
      </c>
      <c r="F1" t="s">
        <v>101</v>
      </c>
      <c r="G1" t="s">
        <v>100</v>
      </c>
      <c r="J1" t="s">
        <v>102</v>
      </c>
      <c r="K1" t="s">
        <v>97</v>
      </c>
      <c r="L1" t="s">
        <v>98</v>
      </c>
      <c r="M1" t="s">
        <v>99</v>
      </c>
      <c r="N1" t="s">
        <v>101</v>
      </c>
      <c r="O1" t="s">
        <v>100</v>
      </c>
      <c r="R1" t="s">
        <v>103</v>
      </c>
      <c r="S1" t="s">
        <v>97</v>
      </c>
      <c r="T1" t="s">
        <v>98</v>
      </c>
      <c r="U1" t="s">
        <v>99</v>
      </c>
      <c r="V1" t="s">
        <v>101</v>
      </c>
      <c r="W1" t="s">
        <v>100</v>
      </c>
      <c r="Z1" t="s">
        <v>104</v>
      </c>
      <c r="AA1" t="s">
        <v>97</v>
      </c>
      <c r="AB1" t="s">
        <v>98</v>
      </c>
      <c r="AC1" t="s">
        <v>99</v>
      </c>
      <c r="AD1" t="s">
        <v>101</v>
      </c>
      <c r="AE1" t="s">
        <v>100</v>
      </c>
      <c r="AH1" t="s">
        <v>105</v>
      </c>
      <c r="AI1" t="s">
        <v>106</v>
      </c>
      <c r="AJ1" t="s">
        <v>98</v>
      </c>
      <c r="AK1" t="s">
        <v>99</v>
      </c>
      <c r="AL1" t="s">
        <v>101</v>
      </c>
      <c r="AM1" t="s">
        <v>100</v>
      </c>
      <c r="AQ1" t="s">
        <v>107</v>
      </c>
      <c r="AR1" s="2" t="s">
        <v>108</v>
      </c>
      <c r="AS1" s="2" t="s">
        <v>127</v>
      </c>
      <c r="AT1" t="s">
        <v>126</v>
      </c>
      <c r="AU1" t="s">
        <v>127</v>
      </c>
      <c r="AX1" t="s">
        <v>135</v>
      </c>
      <c r="BA1" s="3" t="s">
        <v>109</v>
      </c>
      <c r="BB1" s="3">
        <v>252</v>
      </c>
      <c r="BC1" t="s">
        <v>99</v>
      </c>
      <c r="BD1" t="s">
        <v>101</v>
      </c>
      <c r="BE1" t="s">
        <v>100</v>
      </c>
      <c r="BF1">
        <f>COUNT(BB1:BB25)</f>
        <v>25</v>
      </c>
      <c r="BH1" s="3" t="s">
        <v>109</v>
      </c>
      <c r="BI1" s="3">
        <v>252</v>
      </c>
      <c r="BJ1" t="s">
        <v>99</v>
      </c>
      <c r="BK1" t="s">
        <v>101</v>
      </c>
      <c r="BL1" t="s">
        <v>100</v>
      </c>
      <c r="BM1">
        <f>COUNT(BI1:BI26)</f>
        <v>26</v>
      </c>
      <c r="BS1" t="s">
        <v>147</v>
      </c>
    </row>
    <row r="2" spans="2:71">
      <c r="C2" t="s">
        <v>0</v>
      </c>
      <c r="D2">
        <v>94</v>
      </c>
      <c r="E2">
        <f t="shared" ref="E2:E33" si="0">ABS(D2-$H$2)</f>
        <v>73.880434782608688</v>
      </c>
      <c r="F2" t="str">
        <f t="shared" ref="F2:F33" si="1">IF(E2&gt;$H$5, "Outlier", "")</f>
        <v/>
      </c>
      <c r="G2" s="1" t="s">
        <v>92</v>
      </c>
      <c r="H2">
        <f>AVERAGE(D2:D93)</f>
        <v>167.88043478260869</v>
      </c>
      <c r="K2" t="s">
        <v>0</v>
      </c>
      <c r="L2">
        <v>94</v>
      </c>
      <c r="M2">
        <f>ABS(L2-$P$2)</f>
        <v>77.842696629213492</v>
      </c>
      <c r="N2" t="str">
        <f>IF(M2&gt;$P$5, "Outlier", "")</f>
        <v>Outlier</v>
      </c>
      <c r="O2" s="1" t="s">
        <v>92</v>
      </c>
      <c r="P2">
        <f>AVERAGE(L2:L90)</f>
        <v>171.84269662921349</v>
      </c>
      <c r="S2" t="s">
        <v>1</v>
      </c>
      <c r="T2">
        <v>158</v>
      </c>
      <c r="U2">
        <f>ABS(T2-$X$2)</f>
        <v>14.72727272727272</v>
      </c>
      <c r="V2" t="str">
        <f>IF(U2&gt;$X$5, "Outlier", "")</f>
        <v/>
      </c>
      <c r="W2" s="1" t="s">
        <v>92</v>
      </c>
      <c r="X2">
        <f>AVERAGE(T2:T89)</f>
        <v>172.72727272727272</v>
      </c>
      <c r="AA2" t="s">
        <v>1</v>
      </c>
      <c r="AB2">
        <v>158</v>
      </c>
      <c r="AC2">
        <f>ABS(AB2-$AF$2)</f>
        <v>16.36904761904762</v>
      </c>
      <c r="AD2" t="str">
        <f>IF(AC2&gt;$AF$5, "Outlier", "")</f>
        <v/>
      </c>
      <c r="AE2" s="1" t="s">
        <v>92</v>
      </c>
      <c r="AF2">
        <f>AVERAGE(AB2:AB85)</f>
        <v>174.36904761904762</v>
      </c>
      <c r="AI2" t="s">
        <v>1</v>
      </c>
      <c r="AJ2">
        <v>158</v>
      </c>
      <c r="AK2">
        <f>ABS(AJ2-$AN$2)</f>
        <v>16.474999999999994</v>
      </c>
      <c r="AL2" t="str">
        <f>IF(AK2&gt;$AN$5, "Outlier", "")</f>
        <v/>
      </c>
      <c r="AM2" s="1" t="s">
        <v>92</v>
      </c>
      <c r="AN2">
        <f>AVERAGE(AJ2:AJ81)</f>
        <v>174.47499999999999</v>
      </c>
      <c r="AR2" s="5" t="s">
        <v>109</v>
      </c>
      <c r="AS2" s="5">
        <v>252</v>
      </c>
      <c r="AT2" s="4" t="s">
        <v>0</v>
      </c>
      <c r="AU2" s="4">
        <v>94</v>
      </c>
      <c r="AX2" t="s">
        <v>109</v>
      </c>
      <c r="BA2" s="3" t="s">
        <v>136</v>
      </c>
      <c r="BB2" s="3">
        <v>786</v>
      </c>
      <c r="BC2">
        <f>ABS(BB2-$BF$2)</f>
        <v>224.96000000000004</v>
      </c>
      <c r="BD2" t="str">
        <f>IF(BC2&gt;$BF$5, "Outlier", "")</f>
        <v/>
      </c>
      <c r="BE2" s="1" t="s">
        <v>92</v>
      </c>
      <c r="BF2">
        <f>AVERAGE(BB1:BB25)</f>
        <v>561.04</v>
      </c>
      <c r="BH2" s="3" t="s">
        <v>136</v>
      </c>
      <c r="BI2" s="3">
        <v>786</v>
      </c>
      <c r="BJ2">
        <f>ABS(BI2-$BF$2)</f>
        <v>224.96000000000004</v>
      </c>
      <c r="BK2" t="str">
        <f>IF(BJ2&gt;$BF$5, "Outlier", "")</f>
        <v/>
      </c>
      <c r="BL2" s="1" t="s">
        <v>92</v>
      </c>
      <c r="BM2">
        <f>AVERAGE(BI1:BI26)</f>
        <v>551.11538461538464</v>
      </c>
      <c r="BP2" s="3" t="s">
        <v>109</v>
      </c>
      <c r="BS2" s="3" t="s">
        <v>109</v>
      </c>
    </row>
    <row r="3" spans="2:71">
      <c r="C3" t="s">
        <v>1</v>
      </c>
      <c r="D3">
        <v>158</v>
      </c>
      <c r="E3">
        <f t="shared" si="0"/>
        <v>9.8804347826086882</v>
      </c>
      <c r="F3" t="str">
        <f t="shared" si="1"/>
        <v/>
      </c>
      <c r="G3" t="s">
        <v>93</v>
      </c>
      <c r="H3">
        <f>STDEV(D2:D93)</f>
        <v>39.652845855301145</v>
      </c>
      <c r="K3" t="s">
        <v>1</v>
      </c>
      <c r="L3">
        <v>158</v>
      </c>
      <c r="M3">
        <f>ABS(L3-$P$2)</f>
        <v>13.842696629213492</v>
      </c>
      <c r="N3" t="str">
        <f t="shared" ref="N3:N66" si="2">IF(M3&gt;$P$5, "Outlier", "")</f>
        <v/>
      </c>
      <c r="O3" t="s">
        <v>93</v>
      </c>
      <c r="P3">
        <f>STDEV(L2:L90)</f>
        <v>33.720407523555309</v>
      </c>
      <c r="S3" t="s">
        <v>2</v>
      </c>
      <c r="T3">
        <v>157</v>
      </c>
      <c r="U3">
        <f t="shared" ref="U3:U66" si="3">ABS(T3-$X$2)</f>
        <v>15.72727272727272</v>
      </c>
      <c r="V3" t="str">
        <f t="shared" ref="V3:V66" si="4">IF(U3&gt;$X$5, "Outlier", "")</f>
        <v/>
      </c>
      <c r="W3" t="s">
        <v>93</v>
      </c>
      <c r="X3">
        <f>STDEV(T2:T89)</f>
        <v>32.858710866873814</v>
      </c>
      <c r="AA3" t="s">
        <v>2</v>
      </c>
      <c r="AB3">
        <v>157</v>
      </c>
      <c r="AC3">
        <f t="shared" ref="AC3:AC66" si="5">ABS(AB3-$AF$2)</f>
        <v>17.36904761904762</v>
      </c>
      <c r="AD3" t="str">
        <f t="shared" ref="AD3:AD66" si="6">IF(AC3&gt;$AF$5, "Outlier", "")</f>
        <v/>
      </c>
      <c r="AE3" t="s">
        <v>93</v>
      </c>
      <c r="AF3">
        <f>STDEV(AB2:AB85)</f>
        <v>30.241509716371933</v>
      </c>
      <c r="AI3" t="s">
        <v>2</v>
      </c>
      <c r="AJ3">
        <v>157</v>
      </c>
      <c r="AK3">
        <f t="shared" ref="AK3:AK8" si="7">ABS(AJ3-$AN$2)</f>
        <v>17.474999999999994</v>
      </c>
      <c r="AL3" t="str">
        <f t="shared" ref="AL3:AL8" si="8">IF(AK3&gt;$AN$5, "Outlier", "")</f>
        <v/>
      </c>
      <c r="AM3" t="s">
        <v>93</v>
      </c>
      <c r="AN3">
        <f>STDEV(AJ2:AJ81)</f>
        <v>27.647407001815793</v>
      </c>
      <c r="AT3" t="s">
        <v>1</v>
      </c>
      <c r="AU3">
        <v>158</v>
      </c>
      <c r="BA3" s="3" t="s">
        <v>137</v>
      </c>
      <c r="BB3" s="3">
        <v>880</v>
      </c>
      <c r="BC3">
        <f t="shared" ref="BC3:BC25" si="9">ABS(BB3-$BF$2)</f>
        <v>318.96000000000004</v>
      </c>
      <c r="BD3" t="str">
        <f t="shared" ref="BD3:BD26" si="10">IF(BC3&gt;$BF$5, "Outlier", "")</f>
        <v/>
      </c>
      <c r="BE3" t="s">
        <v>93</v>
      </c>
      <c r="BF3">
        <f>STDEV(BB1:BB25)</f>
        <v>388.88649586565316</v>
      </c>
      <c r="BH3" s="3" t="s">
        <v>137</v>
      </c>
      <c r="BI3" s="3">
        <v>880</v>
      </c>
      <c r="BJ3">
        <f t="shared" ref="BJ3:BJ10" si="11">ABS(BI3-$BF$2)</f>
        <v>318.96000000000004</v>
      </c>
      <c r="BK3" t="str">
        <f t="shared" ref="BK3:BK26" si="12">IF(BJ3&gt;$BF$5, "Outlier", "")</f>
        <v/>
      </c>
      <c r="BL3" t="s">
        <v>93</v>
      </c>
      <c r="BM3">
        <f>STDEV(BI1:BI26)</f>
        <v>384.40357198372413</v>
      </c>
      <c r="BP3" s="3" t="s">
        <v>136</v>
      </c>
      <c r="BS3" s="3" t="s">
        <v>136</v>
      </c>
    </row>
    <row r="4" spans="2:71">
      <c r="C4" t="s">
        <v>2</v>
      </c>
      <c r="D4">
        <v>157</v>
      </c>
      <c r="E4">
        <f t="shared" si="0"/>
        <v>10.880434782608688</v>
      </c>
      <c r="F4" t="str">
        <f t="shared" si="1"/>
        <v/>
      </c>
      <c r="G4" t="s">
        <v>94</v>
      </c>
      <c r="H4">
        <v>1.9444999999999999</v>
      </c>
      <c r="K4" t="s">
        <v>2</v>
      </c>
      <c r="L4">
        <v>157</v>
      </c>
      <c r="M4">
        <f t="shared" ref="M4:M66" si="13">ABS(L4-$P$2)</f>
        <v>14.842696629213492</v>
      </c>
      <c r="N4" t="str">
        <f t="shared" si="2"/>
        <v/>
      </c>
      <c r="O4" t="s">
        <v>94</v>
      </c>
      <c r="P4">
        <v>1.9437</v>
      </c>
      <c r="S4" t="s">
        <v>3</v>
      </c>
      <c r="T4">
        <v>194</v>
      </c>
      <c r="U4">
        <f t="shared" si="3"/>
        <v>21.27272727272728</v>
      </c>
      <c r="V4" t="str">
        <f t="shared" si="4"/>
        <v/>
      </c>
      <c r="W4" t="s">
        <v>94</v>
      </c>
      <c r="X4">
        <v>1.9439</v>
      </c>
      <c r="AA4" t="s">
        <v>3</v>
      </c>
      <c r="AB4">
        <v>194</v>
      </c>
      <c r="AC4">
        <f t="shared" si="5"/>
        <v>19.63095238095238</v>
      </c>
      <c r="AD4" t="str">
        <f t="shared" si="6"/>
        <v/>
      </c>
      <c r="AE4" t="s">
        <v>94</v>
      </c>
      <c r="AF4">
        <v>1.9431</v>
      </c>
      <c r="AI4" t="s">
        <v>3</v>
      </c>
      <c r="AJ4">
        <v>194</v>
      </c>
      <c r="AK4">
        <f t="shared" si="7"/>
        <v>19.525000000000006</v>
      </c>
      <c r="AL4" t="str">
        <f t="shared" si="8"/>
        <v/>
      </c>
      <c r="AM4" t="s">
        <v>94</v>
      </c>
      <c r="AN4">
        <v>1.9422999999999999</v>
      </c>
      <c r="AR4" t="s">
        <v>128</v>
      </c>
      <c r="AS4">
        <v>786</v>
      </c>
      <c r="AT4" t="s">
        <v>2</v>
      </c>
      <c r="AU4">
        <v>157</v>
      </c>
      <c r="AX4" t="s">
        <v>136</v>
      </c>
      <c r="BA4" s="3" t="s">
        <v>110</v>
      </c>
      <c r="BB4" s="3">
        <v>937</v>
      </c>
      <c r="BC4">
        <f t="shared" si="9"/>
        <v>375.96000000000004</v>
      </c>
      <c r="BD4" t="str">
        <f t="shared" si="10"/>
        <v/>
      </c>
      <c r="BE4" t="s">
        <v>94</v>
      </c>
      <c r="BF4">
        <v>1.9077999999999999</v>
      </c>
      <c r="BH4" s="3" t="s">
        <v>110</v>
      </c>
      <c r="BI4" s="3">
        <v>937</v>
      </c>
      <c r="BJ4">
        <f t="shared" si="11"/>
        <v>375.96000000000004</v>
      </c>
      <c r="BK4" t="str">
        <f t="shared" si="12"/>
        <v/>
      </c>
      <c r="BL4" t="s">
        <v>94</v>
      </c>
      <c r="BM4">
        <v>1.9035</v>
      </c>
      <c r="BP4" s="3" t="s">
        <v>137</v>
      </c>
      <c r="BS4" s="3" t="s">
        <v>137</v>
      </c>
    </row>
    <row r="5" spans="2:71">
      <c r="C5" t="s">
        <v>3</v>
      </c>
      <c r="D5">
        <v>194</v>
      </c>
      <c r="E5">
        <f t="shared" si="0"/>
        <v>26.119565217391312</v>
      </c>
      <c r="F5" t="str">
        <f t="shared" si="1"/>
        <v/>
      </c>
      <c r="G5" t="s">
        <v>95</v>
      </c>
      <c r="H5">
        <f>H4*H3</f>
        <v>77.104958765633071</v>
      </c>
      <c r="K5" t="s">
        <v>3</v>
      </c>
      <c r="L5">
        <v>194</v>
      </c>
      <c r="M5">
        <f t="shared" si="13"/>
        <v>22.157303370786508</v>
      </c>
      <c r="N5" t="str">
        <f t="shared" si="2"/>
        <v/>
      </c>
      <c r="O5" t="s">
        <v>95</v>
      </c>
      <c r="P5">
        <f>P4*P3</f>
        <v>65.542356103534459</v>
      </c>
      <c r="S5" t="s">
        <v>4</v>
      </c>
      <c r="T5">
        <v>226</v>
      </c>
      <c r="U5">
        <f t="shared" si="3"/>
        <v>53.27272727272728</v>
      </c>
      <c r="V5" t="str">
        <f t="shared" si="4"/>
        <v/>
      </c>
      <c r="W5" t="s">
        <v>95</v>
      </c>
      <c r="X5">
        <f>X4*X3</f>
        <v>63.874048054116003</v>
      </c>
      <c r="AA5" t="s">
        <v>4</v>
      </c>
      <c r="AB5">
        <v>226</v>
      </c>
      <c r="AC5">
        <f t="shared" si="5"/>
        <v>51.63095238095238</v>
      </c>
      <c r="AD5" t="str">
        <f t="shared" si="6"/>
        <v/>
      </c>
      <c r="AE5" t="s">
        <v>95</v>
      </c>
      <c r="AF5">
        <f>AF4*AF3</f>
        <v>58.762277529882304</v>
      </c>
      <c r="AI5" t="s">
        <v>4</v>
      </c>
      <c r="AJ5">
        <v>226</v>
      </c>
      <c r="AK5">
        <f t="shared" si="7"/>
        <v>51.525000000000006</v>
      </c>
      <c r="AL5" t="str">
        <f t="shared" si="8"/>
        <v/>
      </c>
      <c r="AM5" t="s">
        <v>95</v>
      </c>
      <c r="AN5">
        <f>AN4*AN3</f>
        <v>53.699558619626814</v>
      </c>
      <c r="AT5" t="s">
        <v>3</v>
      </c>
      <c r="AU5">
        <v>194</v>
      </c>
      <c r="AX5" t="s">
        <v>137</v>
      </c>
      <c r="BA5" s="3" t="s">
        <v>112</v>
      </c>
      <c r="BB5" s="3">
        <v>792</v>
      </c>
      <c r="BC5">
        <f t="shared" si="9"/>
        <v>230.96000000000004</v>
      </c>
      <c r="BD5" t="str">
        <f t="shared" si="10"/>
        <v/>
      </c>
      <c r="BE5" t="s">
        <v>95</v>
      </c>
      <c r="BF5">
        <f>BF4*BF3</f>
        <v>741.91765681249308</v>
      </c>
      <c r="BH5" s="3" t="s">
        <v>112</v>
      </c>
      <c r="BI5" s="3">
        <v>792</v>
      </c>
      <c r="BJ5">
        <f t="shared" si="11"/>
        <v>230.96000000000004</v>
      </c>
      <c r="BK5" t="str">
        <f t="shared" si="12"/>
        <v/>
      </c>
      <c r="BL5" t="s">
        <v>95</v>
      </c>
      <c r="BM5">
        <f>BM4*BM3</f>
        <v>731.7121992710189</v>
      </c>
      <c r="BP5" s="3" t="s">
        <v>110</v>
      </c>
      <c r="BS5" s="3" t="s">
        <v>110</v>
      </c>
    </row>
    <row r="6" spans="2:71">
      <c r="C6" t="s">
        <v>4</v>
      </c>
      <c r="D6">
        <v>226</v>
      </c>
      <c r="E6">
        <f t="shared" si="0"/>
        <v>58.119565217391312</v>
      </c>
      <c r="F6" t="str">
        <f t="shared" si="1"/>
        <v/>
      </c>
      <c r="K6" t="s">
        <v>4</v>
      </c>
      <c r="L6">
        <v>226</v>
      </c>
      <c r="M6">
        <f t="shared" si="13"/>
        <v>54.157303370786508</v>
      </c>
      <c r="N6" t="str">
        <f t="shared" si="2"/>
        <v/>
      </c>
      <c r="S6" t="s">
        <v>5</v>
      </c>
      <c r="T6">
        <v>209</v>
      </c>
      <c r="U6">
        <f t="shared" si="3"/>
        <v>36.27272727272728</v>
      </c>
      <c r="V6" t="str">
        <f t="shared" si="4"/>
        <v/>
      </c>
      <c r="AA6" t="s">
        <v>5</v>
      </c>
      <c r="AB6">
        <v>209</v>
      </c>
      <c r="AC6">
        <f t="shared" si="5"/>
        <v>34.63095238095238</v>
      </c>
      <c r="AD6" t="str">
        <f t="shared" si="6"/>
        <v/>
      </c>
      <c r="AI6" t="s">
        <v>5</v>
      </c>
      <c r="AJ6">
        <v>209</v>
      </c>
      <c r="AK6">
        <f t="shared" si="7"/>
        <v>34.525000000000006</v>
      </c>
      <c r="AL6" t="str">
        <f t="shared" si="8"/>
        <v/>
      </c>
      <c r="AT6" t="s">
        <v>4</v>
      </c>
      <c r="AU6">
        <v>226</v>
      </c>
      <c r="AX6" t="s">
        <v>110</v>
      </c>
      <c r="BA6" s="3" t="s">
        <v>113</v>
      </c>
      <c r="BB6" s="3">
        <v>1241</v>
      </c>
      <c r="BC6">
        <f t="shared" si="9"/>
        <v>679.96</v>
      </c>
      <c r="BD6" t="str">
        <f t="shared" si="10"/>
        <v/>
      </c>
      <c r="BH6" s="3" t="s">
        <v>113</v>
      </c>
      <c r="BI6" s="3">
        <v>1241</v>
      </c>
      <c r="BJ6">
        <f t="shared" si="11"/>
        <v>679.96</v>
      </c>
      <c r="BK6" t="str">
        <f t="shared" si="12"/>
        <v/>
      </c>
      <c r="BP6" s="3" t="s">
        <v>112</v>
      </c>
      <c r="BS6" s="3" t="s">
        <v>112</v>
      </c>
    </row>
    <row r="7" spans="2:71">
      <c r="C7" t="s">
        <v>5</v>
      </c>
      <c r="D7">
        <v>209</v>
      </c>
      <c r="E7">
        <f t="shared" si="0"/>
        <v>41.119565217391312</v>
      </c>
      <c r="F7" t="str">
        <f t="shared" si="1"/>
        <v/>
      </c>
      <c r="K7" t="s">
        <v>5</v>
      </c>
      <c r="L7">
        <v>209</v>
      </c>
      <c r="M7">
        <f t="shared" si="13"/>
        <v>37.157303370786508</v>
      </c>
      <c r="N7" t="str">
        <f t="shared" si="2"/>
        <v/>
      </c>
      <c r="S7" t="s">
        <v>6</v>
      </c>
      <c r="T7">
        <v>167</v>
      </c>
      <c r="U7">
        <f t="shared" si="3"/>
        <v>5.7272727272727195</v>
      </c>
      <c r="V7" t="str">
        <f t="shared" si="4"/>
        <v/>
      </c>
      <c r="AA7" t="s">
        <v>6</v>
      </c>
      <c r="AB7">
        <v>167</v>
      </c>
      <c r="AC7">
        <f t="shared" si="5"/>
        <v>7.3690476190476204</v>
      </c>
      <c r="AD7" t="str">
        <f t="shared" si="6"/>
        <v/>
      </c>
      <c r="AI7" t="s">
        <v>6</v>
      </c>
      <c r="AJ7">
        <v>167</v>
      </c>
      <c r="AK7">
        <f t="shared" si="7"/>
        <v>7.4749999999999943</v>
      </c>
      <c r="AL7" t="str">
        <f t="shared" si="8"/>
        <v/>
      </c>
      <c r="AT7" t="s">
        <v>5</v>
      </c>
      <c r="AU7">
        <v>209</v>
      </c>
      <c r="BA7" s="3" t="s">
        <v>28</v>
      </c>
      <c r="BB7" s="3">
        <v>214</v>
      </c>
      <c r="BC7">
        <f t="shared" si="9"/>
        <v>347.03999999999996</v>
      </c>
      <c r="BD7" t="str">
        <f t="shared" si="10"/>
        <v/>
      </c>
      <c r="BH7" s="3" t="s">
        <v>138</v>
      </c>
      <c r="BI7" s="3">
        <v>167</v>
      </c>
      <c r="BJ7">
        <f t="shared" si="11"/>
        <v>394.03999999999996</v>
      </c>
      <c r="BK7" t="str">
        <f t="shared" si="12"/>
        <v/>
      </c>
      <c r="BP7" s="3" t="s">
        <v>113</v>
      </c>
      <c r="BS7" s="3" t="s">
        <v>113</v>
      </c>
    </row>
    <row r="8" spans="2:71">
      <c r="C8" t="s">
        <v>6</v>
      </c>
      <c r="D8">
        <v>167</v>
      </c>
      <c r="E8">
        <f t="shared" si="0"/>
        <v>0.88043478260868824</v>
      </c>
      <c r="F8" t="str">
        <f t="shared" si="1"/>
        <v/>
      </c>
      <c r="K8" t="s">
        <v>6</v>
      </c>
      <c r="L8">
        <v>167</v>
      </c>
      <c r="M8">
        <f t="shared" si="13"/>
        <v>4.8426966292134921</v>
      </c>
      <c r="N8" t="str">
        <f t="shared" si="2"/>
        <v/>
      </c>
      <c r="S8" t="s">
        <v>7</v>
      </c>
      <c r="T8">
        <v>215</v>
      </c>
      <c r="U8">
        <f t="shared" si="3"/>
        <v>42.27272727272728</v>
      </c>
      <c r="V8" t="str">
        <f t="shared" si="4"/>
        <v/>
      </c>
      <c r="AA8" t="s">
        <v>7</v>
      </c>
      <c r="AB8">
        <v>215</v>
      </c>
      <c r="AC8">
        <f t="shared" si="5"/>
        <v>40.63095238095238</v>
      </c>
      <c r="AD8" t="str">
        <f t="shared" si="6"/>
        <v/>
      </c>
      <c r="AI8" t="s">
        <v>7</v>
      </c>
      <c r="AJ8">
        <v>215</v>
      </c>
      <c r="AK8">
        <f t="shared" si="7"/>
        <v>40.525000000000006</v>
      </c>
      <c r="AL8" t="str">
        <f t="shared" si="8"/>
        <v/>
      </c>
      <c r="AR8" t="s">
        <v>129</v>
      </c>
      <c r="AS8">
        <v>880</v>
      </c>
      <c r="AT8" t="s">
        <v>6</v>
      </c>
      <c r="AU8">
        <v>167</v>
      </c>
      <c r="AX8" t="s">
        <v>112</v>
      </c>
      <c r="BA8" s="3" t="s">
        <v>114</v>
      </c>
      <c r="BB8" s="3">
        <v>397</v>
      </c>
      <c r="BC8">
        <f t="shared" si="9"/>
        <v>164.03999999999996</v>
      </c>
      <c r="BD8" t="str">
        <f t="shared" si="10"/>
        <v/>
      </c>
      <c r="BH8" s="3" t="s">
        <v>28</v>
      </c>
      <c r="BI8" s="3">
        <v>214</v>
      </c>
      <c r="BJ8">
        <f t="shared" si="11"/>
        <v>347.03999999999996</v>
      </c>
      <c r="BK8" t="str">
        <f t="shared" si="12"/>
        <v/>
      </c>
      <c r="BP8" s="3" t="s">
        <v>138</v>
      </c>
      <c r="BS8" s="3" t="s">
        <v>28</v>
      </c>
    </row>
    <row r="9" spans="2:71">
      <c r="C9" t="s">
        <v>7</v>
      </c>
      <c r="D9">
        <v>215</v>
      </c>
      <c r="E9">
        <f t="shared" si="0"/>
        <v>47.119565217391312</v>
      </c>
      <c r="F9" t="str">
        <f t="shared" si="1"/>
        <v/>
      </c>
      <c r="K9" t="s">
        <v>7</v>
      </c>
      <c r="L9">
        <v>215</v>
      </c>
      <c r="M9">
        <f t="shared" si="13"/>
        <v>43.157303370786508</v>
      </c>
      <c r="N9" t="str">
        <f t="shared" si="2"/>
        <v/>
      </c>
      <c r="S9" t="s">
        <v>8</v>
      </c>
      <c r="T9">
        <v>235</v>
      </c>
      <c r="U9">
        <f t="shared" si="3"/>
        <v>62.27272727272728</v>
      </c>
      <c r="V9" t="str">
        <f t="shared" si="4"/>
        <v/>
      </c>
      <c r="AA9" t="s">
        <v>8</v>
      </c>
      <c r="AB9">
        <v>235</v>
      </c>
      <c r="AC9">
        <f t="shared" si="5"/>
        <v>60.63095238095238</v>
      </c>
      <c r="AD9" t="str">
        <f t="shared" si="6"/>
        <v>Outlier</v>
      </c>
      <c r="AI9" t="s">
        <v>9</v>
      </c>
      <c r="AJ9">
        <v>159</v>
      </c>
      <c r="AK9">
        <f t="shared" ref="AK9:AK40" si="14">ABS(AJ9-$AN$2)</f>
        <v>15.474999999999994</v>
      </c>
      <c r="AL9" t="str">
        <f t="shared" ref="AL9:AL40" si="15">IF(AK9&gt;$AN$5, "Outlier", "")</f>
        <v/>
      </c>
      <c r="AT9" t="s">
        <v>134</v>
      </c>
      <c r="AU9">
        <v>215</v>
      </c>
      <c r="AX9" t="s">
        <v>113</v>
      </c>
      <c r="BA9" s="3" t="s">
        <v>144</v>
      </c>
      <c r="BB9" s="3">
        <v>242</v>
      </c>
      <c r="BC9">
        <f t="shared" si="9"/>
        <v>319.03999999999996</v>
      </c>
      <c r="BD9" t="str">
        <f t="shared" si="10"/>
        <v/>
      </c>
      <c r="BH9" s="3" t="s">
        <v>114</v>
      </c>
      <c r="BI9" s="3">
        <v>397</v>
      </c>
      <c r="BJ9">
        <f t="shared" si="11"/>
        <v>164.03999999999996</v>
      </c>
      <c r="BK9" t="str">
        <f t="shared" si="12"/>
        <v/>
      </c>
      <c r="BP9" s="3" t="s">
        <v>28</v>
      </c>
      <c r="BS9" s="3" t="s">
        <v>114</v>
      </c>
    </row>
    <row r="10" spans="2:71">
      <c r="C10" t="s">
        <v>8</v>
      </c>
      <c r="D10">
        <v>235</v>
      </c>
      <c r="E10">
        <f t="shared" si="0"/>
        <v>67.119565217391312</v>
      </c>
      <c r="F10" t="str">
        <f t="shared" si="1"/>
        <v/>
      </c>
      <c r="K10" t="s">
        <v>8</v>
      </c>
      <c r="L10">
        <v>235</v>
      </c>
      <c r="M10">
        <f t="shared" si="13"/>
        <v>63.157303370786508</v>
      </c>
      <c r="N10" t="str">
        <f t="shared" si="2"/>
        <v/>
      </c>
      <c r="S10" t="s">
        <v>9</v>
      </c>
      <c r="T10">
        <v>159</v>
      </c>
      <c r="U10">
        <f t="shared" si="3"/>
        <v>13.72727272727272</v>
      </c>
      <c r="V10" t="str">
        <f t="shared" si="4"/>
        <v/>
      </c>
      <c r="AA10" t="s">
        <v>9</v>
      </c>
      <c r="AB10">
        <v>159</v>
      </c>
      <c r="AC10">
        <f t="shared" si="5"/>
        <v>15.36904761904762</v>
      </c>
      <c r="AD10" t="str">
        <f t="shared" si="6"/>
        <v/>
      </c>
      <c r="AI10" t="s">
        <v>10</v>
      </c>
      <c r="AJ10">
        <v>140</v>
      </c>
      <c r="AK10">
        <f t="shared" si="14"/>
        <v>34.474999999999994</v>
      </c>
      <c r="AL10" t="str">
        <f t="shared" si="15"/>
        <v/>
      </c>
      <c r="AM10" t="s">
        <v>134</v>
      </c>
      <c r="AT10" s="4" t="s">
        <v>8</v>
      </c>
      <c r="AU10" s="4">
        <v>235</v>
      </c>
      <c r="AX10" t="s">
        <v>138</v>
      </c>
      <c r="BA10" s="3" t="s">
        <v>32</v>
      </c>
      <c r="BB10" s="3">
        <v>169</v>
      </c>
      <c r="BC10">
        <f t="shared" si="9"/>
        <v>392.03999999999996</v>
      </c>
      <c r="BD10" t="str">
        <f t="shared" si="10"/>
        <v/>
      </c>
      <c r="BH10" s="3" t="s">
        <v>144</v>
      </c>
      <c r="BI10" s="3">
        <v>242</v>
      </c>
      <c r="BJ10">
        <f t="shared" si="11"/>
        <v>319.03999999999996</v>
      </c>
      <c r="BK10" t="str">
        <f t="shared" si="12"/>
        <v/>
      </c>
      <c r="BP10" s="3" t="s">
        <v>114</v>
      </c>
      <c r="BS10" s="3" t="s">
        <v>144</v>
      </c>
    </row>
    <row r="11" spans="2:71">
      <c r="C11" t="s">
        <v>9</v>
      </c>
      <c r="D11">
        <v>159</v>
      </c>
      <c r="E11">
        <f t="shared" si="0"/>
        <v>8.8804347826086882</v>
      </c>
      <c r="F11" t="str">
        <f t="shared" si="1"/>
        <v/>
      </c>
      <c r="K11" t="s">
        <v>9</v>
      </c>
      <c r="L11">
        <v>159</v>
      </c>
      <c r="M11">
        <f t="shared" si="13"/>
        <v>12.842696629213492</v>
      </c>
      <c r="N11" t="str">
        <f t="shared" si="2"/>
        <v/>
      </c>
      <c r="S11" t="s">
        <v>10</v>
      </c>
      <c r="T11">
        <v>140</v>
      </c>
      <c r="U11">
        <f t="shared" si="3"/>
        <v>32.72727272727272</v>
      </c>
      <c r="V11" t="str">
        <f t="shared" si="4"/>
        <v/>
      </c>
      <c r="AA11" t="s">
        <v>10</v>
      </c>
      <c r="AB11">
        <v>140</v>
      </c>
      <c r="AC11">
        <f t="shared" si="5"/>
        <v>34.36904761904762</v>
      </c>
      <c r="AD11" t="str">
        <f t="shared" si="6"/>
        <v/>
      </c>
      <c r="AI11" t="s">
        <v>11</v>
      </c>
      <c r="AJ11">
        <v>218</v>
      </c>
      <c r="AK11">
        <f t="shared" si="14"/>
        <v>43.525000000000006</v>
      </c>
      <c r="AL11" t="str">
        <f t="shared" si="15"/>
        <v/>
      </c>
      <c r="AT11" t="s">
        <v>9</v>
      </c>
      <c r="AU11">
        <v>159</v>
      </c>
      <c r="AX11" t="s">
        <v>28</v>
      </c>
      <c r="BA11" s="3" t="s">
        <v>145</v>
      </c>
      <c r="BB11" s="3">
        <v>908</v>
      </c>
      <c r="BC11">
        <f t="shared" si="9"/>
        <v>346.96000000000004</v>
      </c>
      <c r="BD11" t="str">
        <f t="shared" si="10"/>
        <v/>
      </c>
      <c r="BH11" s="3" t="s">
        <v>145</v>
      </c>
      <c r="BI11" s="3">
        <v>908</v>
      </c>
      <c r="BJ11">
        <f t="shared" ref="BJ11:BJ26" si="16">ABS(BI11-$BF$2)</f>
        <v>346.96000000000004</v>
      </c>
      <c r="BK11" t="str">
        <f t="shared" si="12"/>
        <v/>
      </c>
      <c r="BP11" s="3" t="s">
        <v>144</v>
      </c>
      <c r="BS11" s="3" t="s">
        <v>32</v>
      </c>
    </row>
    <row r="12" spans="2:71">
      <c r="C12" t="s">
        <v>10</v>
      </c>
      <c r="D12">
        <v>140</v>
      </c>
      <c r="E12">
        <f t="shared" si="0"/>
        <v>27.880434782608688</v>
      </c>
      <c r="F12" t="str">
        <f t="shared" si="1"/>
        <v/>
      </c>
      <c r="K12" t="s">
        <v>10</v>
      </c>
      <c r="L12">
        <v>140</v>
      </c>
      <c r="M12">
        <f t="shared" si="13"/>
        <v>31.842696629213492</v>
      </c>
      <c r="N12" t="str">
        <f t="shared" si="2"/>
        <v/>
      </c>
      <c r="S12" t="s">
        <v>11</v>
      </c>
      <c r="T12">
        <v>218</v>
      </c>
      <c r="U12">
        <f t="shared" si="3"/>
        <v>45.27272727272728</v>
      </c>
      <c r="V12" t="str">
        <f t="shared" si="4"/>
        <v/>
      </c>
      <c r="AA12" t="s">
        <v>11</v>
      </c>
      <c r="AB12">
        <v>218</v>
      </c>
      <c r="AC12">
        <f t="shared" si="5"/>
        <v>43.63095238095238</v>
      </c>
      <c r="AD12" t="str">
        <f t="shared" si="6"/>
        <v/>
      </c>
      <c r="AI12" t="s">
        <v>12</v>
      </c>
      <c r="AJ12">
        <v>195</v>
      </c>
      <c r="AK12">
        <f t="shared" si="14"/>
        <v>20.525000000000006</v>
      </c>
      <c r="AL12" t="str">
        <f t="shared" si="15"/>
        <v/>
      </c>
      <c r="AT12" t="s">
        <v>133</v>
      </c>
      <c r="AU12">
        <v>140</v>
      </c>
      <c r="AX12" t="s">
        <v>114</v>
      </c>
      <c r="BA12" s="3" t="s">
        <v>139</v>
      </c>
      <c r="BB12" s="3">
        <v>1059</v>
      </c>
      <c r="BC12">
        <f t="shared" si="9"/>
        <v>497.96000000000004</v>
      </c>
      <c r="BD12" t="str">
        <f t="shared" si="10"/>
        <v/>
      </c>
      <c r="BH12" s="3" t="s">
        <v>139</v>
      </c>
      <c r="BI12" s="3">
        <v>1059</v>
      </c>
      <c r="BJ12">
        <f t="shared" si="16"/>
        <v>497.96000000000004</v>
      </c>
      <c r="BK12" t="str">
        <f t="shared" si="12"/>
        <v/>
      </c>
      <c r="BP12" s="3" t="s">
        <v>145</v>
      </c>
      <c r="BS12" s="3" t="s">
        <v>145</v>
      </c>
    </row>
    <row r="13" spans="2:71">
      <c r="C13" t="s">
        <v>11</v>
      </c>
      <c r="D13">
        <v>218</v>
      </c>
      <c r="E13">
        <f t="shared" si="0"/>
        <v>50.119565217391312</v>
      </c>
      <c r="F13" t="str">
        <f t="shared" si="1"/>
        <v/>
      </c>
      <c r="K13" t="s">
        <v>11</v>
      </c>
      <c r="L13">
        <v>218</v>
      </c>
      <c r="M13">
        <f t="shared" si="13"/>
        <v>46.157303370786508</v>
      </c>
      <c r="N13" t="str">
        <f t="shared" si="2"/>
        <v/>
      </c>
      <c r="S13" t="s">
        <v>12</v>
      </c>
      <c r="T13">
        <v>195</v>
      </c>
      <c r="U13">
        <f t="shared" si="3"/>
        <v>22.27272727272728</v>
      </c>
      <c r="V13" t="str">
        <f t="shared" si="4"/>
        <v/>
      </c>
      <c r="AA13" t="s">
        <v>12</v>
      </c>
      <c r="AB13">
        <v>195</v>
      </c>
      <c r="AC13">
        <f t="shared" si="5"/>
        <v>20.63095238095238</v>
      </c>
      <c r="AD13" t="str">
        <f t="shared" si="6"/>
        <v/>
      </c>
      <c r="AI13" t="s">
        <v>13</v>
      </c>
      <c r="AJ13">
        <v>192</v>
      </c>
      <c r="AK13">
        <f t="shared" si="14"/>
        <v>17.525000000000006</v>
      </c>
      <c r="AL13" t="str">
        <f t="shared" si="15"/>
        <v/>
      </c>
      <c r="AR13" t="s">
        <v>110</v>
      </c>
      <c r="AS13">
        <v>937</v>
      </c>
      <c r="AT13" t="s">
        <v>11</v>
      </c>
      <c r="AU13">
        <v>218</v>
      </c>
      <c r="AX13" t="s">
        <v>144</v>
      </c>
      <c r="BA13" s="3" t="s">
        <v>117</v>
      </c>
      <c r="BB13" s="3">
        <v>282</v>
      </c>
      <c r="BC13">
        <f t="shared" si="9"/>
        <v>279.03999999999996</v>
      </c>
      <c r="BD13" t="str">
        <f t="shared" si="10"/>
        <v/>
      </c>
      <c r="BH13" s="3" t="s">
        <v>117</v>
      </c>
      <c r="BI13" s="3">
        <v>282</v>
      </c>
      <c r="BJ13">
        <f t="shared" si="16"/>
        <v>279.03999999999996</v>
      </c>
      <c r="BK13" t="str">
        <f t="shared" si="12"/>
        <v/>
      </c>
      <c r="BP13" s="3" t="s">
        <v>139</v>
      </c>
      <c r="BS13" s="3" t="s">
        <v>139</v>
      </c>
    </row>
    <row r="14" spans="2:71">
      <c r="C14" t="s">
        <v>12</v>
      </c>
      <c r="D14">
        <v>195</v>
      </c>
      <c r="E14">
        <f t="shared" si="0"/>
        <v>27.119565217391312</v>
      </c>
      <c r="F14" t="str">
        <f t="shared" si="1"/>
        <v/>
      </c>
      <c r="K14" t="s">
        <v>12</v>
      </c>
      <c r="L14">
        <v>195</v>
      </c>
      <c r="M14">
        <f t="shared" si="13"/>
        <v>23.157303370786508</v>
      </c>
      <c r="N14" t="str">
        <f t="shared" si="2"/>
        <v/>
      </c>
      <c r="S14" t="s">
        <v>13</v>
      </c>
      <c r="T14">
        <v>192</v>
      </c>
      <c r="U14">
        <f t="shared" si="3"/>
        <v>19.27272727272728</v>
      </c>
      <c r="V14" t="str">
        <f t="shared" si="4"/>
        <v/>
      </c>
      <c r="AA14" t="s">
        <v>13</v>
      </c>
      <c r="AB14">
        <v>192</v>
      </c>
      <c r="AC14">
        <f t="shared" si="5"/>
        <v>17.63095238095238</v>
      </c>
      <c r="AD14" t="str">
        <f t="shared" si="6"/>
        <v/>
      </c>
      <c r="AI14" t="s">
        <v>14</v>
      </c>
      <c r="AJ14">
        <v>144</v>
      </c>
      <c r="AK14">
        <f t="shared" si="14"/>
        <v>30.474999999999994</v>
      </c>
      <c r="AL14" t="str">
        <f t="shared" si="15"/>
        <v/>
      </c>
      <c r="AR14" t="s">
        <v>111</v>
      </c>
      <c r="AT14" t="s">
        <v>12</v>
      </c>
      <c r="AU14">
        <v>195</v>
      </c>
      <c r="AX14" t="s">
        <v>32</v>
      </c>
      <c r="BA14" s="3" t="s">
        <v>46</v>
      </c>
      <c r="BB14" s="3">
        <v>46</v>
      </c>
      <c r="BC14">
        <f t="shared" si="9"/>
        <v>515.04</v>
      </c>
      <c r="BD14" t="str">
        <f t="shared" si="10"/>
        <v/>
      </c>
      <c r="BH14" s="3" t="s">
        <v>46</v>
      </c>
      <c r="BI14" s="3">
        <v>46</v>
      </c>
      <c r="BJ14">
        <f t="shared" si="16"/>
        <v>515.04</v>
      </c>
      <c r="BK14" t="str">
        <f t="shared" si="12"/>
        <v/>
      </c>
      <c r="BP14" s="3" t="s">
        <v>117</v>
      </c>
      <c r="BS14" s="3" t="s">
        <v>117</v>
      </c>
    </row>
    <row r="15" spans="2:71">
      <c r="C15" t="s">
        <v>13</v>
      </c>
      <c r="D15">
        <v>192</v>
      </c>
      <c r="E15">
        <f t="shared" si="0"/>
        <v>24.119565217391312</v>
      </c>
      <c r="F15" t="str">
        <f t="shared" si="1"/>
        <v/>
      </c>
      <c r="K15" t="s">
        <v>13</v>
      </c>
      <c r="L15">
        <v>192</v>
      </c>
      <c r="M15">
        <f t="shared" si="13"/>
        <v>20.157303370786508</v>
      </c>
      <c r="N15" t="str">
        <f t="shared" si="2"/>
        <v/>
      </c>
      <c r="S15" t="s">
        <v>14</v>
      </c>
      <c r="T15">
        <v>144</v>
      </c>
      <c r="U15">
        <f t="shared" si="3"/>
        <v>28.72727272727272</v>
      </c>
      <c r="V15" t="str">
        <f t="shared" si="4"/>
        <v/>
      </c>
      <c r="AA15" t="s">
        <v>14</v>
      </c>
      <c r="AB15">
        <v>144</v>
      </c>
      <c r="AC15">
        <f t="shared" si="5"/>
        <v>30.36904761904762</v>
      </c>
      <c r="AD15" t="str">
        <f t="shared" si="6"/>
        <v/>
      </c>
      <c r="AI15" t="s">
        <v>15</v>
      </c>
      <c r="AJ15">
        <v>152</v>
      </c>
      <c r="AK15">
        <f t="shared" si="14"/>
        <v>22.474999999999994</v>
      </c>
      <c r="AL15" t="str">
        <f t="shared" si="15"/>
        <v/>
      </c>
      <c r="AT15" t="s">
        <v>13</v>
      </c>
      <c r="AU15">
        <v>192</v>
      </c>
      <c r="AX15" t="s">
        <v>145</v>
      </c>
      <c r="BA15" s="3" t="s">
        <v>118</v>
      </c>
      <c r="BB15" s="3">
        <v>884</v>
      </c>
      <c r="BC15">
        <f t="shared" si="9"/>
        <v>322.96000000000004</v>
      </c>
      <c r="BD15" t="str">
        <f t="shared" si="10"/>
        <v/>
      </c>
      <c r="BH15" s="3" t="s">
        <v>140</v>
      </c>
      <c r="BI15" s="3">
        <v>305</v>
      </c>
      <c r="BJ15">
        <f t="shared" si="16"/>
        <v>256.03999999999996</v>
      </c>
      <c r="BK15" t="str">
        <f t="shared" si="12"/>
        <v/>
      </c>
      <c r="BP15" s="3" t="s">
        <v>46</v>
      </c>
      <c r="BS15" s="3" t="s">
        <v>46</v>
      </c>
    </row>
    <row r="16" spans="2:71">
      <c r="C16" t="s">
        <v>14</v>
      </c>
      <c r="D16">
        <v>144</v>
      </c>
      <c r="E16">
        <f t="shared" si="0"/>
        <v>23.880434782608688</v>
      </c>
      <c r="F16" t="str">
        <f t="shared" si="1"/>
        <v/>
      </c>
      <c r="K16" t="s">
        <v>14</v>
      </c>
      <c r="L16">
        <v>144</v>
      </c>
      <c r="M16">
        <f t="shared" si="13"/>
        <v>27.842696629213492</v>
      </c>
      <c r="N16" t="str">
        <f t="shared" si="2"/>
        <v/>
      </c>
      <c r="S16" t="s">
        <v>15</v>
      </c>
      <c r="T16">
        <v>152</v>
      </c>
      <c r="U16">
        <f t="shared" si="3"/>
        <v>20.72727272727272</v>
      </c>
      <c r="V16" t="str">
        <f t="shared" si="4"/>
        <v/>
      </c>
      <c r="AA16" t="s">
        <v>15</v>
      </c>
      <c r="AB16">
        <v>152</v>
      </c>
      <c r="AC16">
        <f t="shared" si="5"/>
        <v>22.36904761904762</v>
      </c>
      <c r="AD16" t="str">
        <f t="shared" si="6"/>
        <v/>
      </c>
      <c r="AI16" t="s">
        <v>16</v>
      </c>
      <c r="AJ16">
        <v>125</v>
      </c>
      <c r="AK16">
        <f t="shared" si="14"/>
        <v>49.474999999999994</v>
      </c>
      <c r="AL16" t="str">
        <f t="shared" si="15"/>
        <v/>
      </c>
      <c r="AT16" t="s">
        <v>14</v>
      </c>
      <c r="AU16">
        <v>144</v>
      </c>
      <c r="AX16" t="s">
        <v>139</v>
      </c>
      <c r="BA16" s="3" t="s">
        <v>52</v>
      </c>
      <c r="BB16" s="3">
        <v>61</v>
      </c>
      <c r="BC16">
        <f t="shared" si="9"/>
        <v>500.03999999999996</v>
      </c>
      <c r="BD16" t="str">
        <f t="shared" si="10"/>
        <v/>
      </c>
      <c r="BH16" s="3" t="s">
        <v>118</v>
      </c>
      <c r="BI16" s="3">
        <v>884</v>
      </c>
      <c r="BJ16">
        <f t="shared" si="16"/>
        <v>322.96000000000004</v>
      </c>
      <c r="BK16" t="str">
        <f t="shared" si="12"/>
        <v/>
      </c>
      <c r="BP16" s="3" t="s">
        <v>140</v>
      </c>
      <c r="BS16" s="3" t="s">
        <v>118</v>
      </c>
    </row>
    <row r="17" spans="3:71">
      <c r="C17" t="s">
        <v>15</v>
      </c>
      <c r="D17">
        <v>152</v>
      </c>
      <c r="E17">
        <f t="shared" si="0"/>
        <v>15.880434782608688</v>
      </c>
      <c r="F17" t="str">
        <f t="shared" si="1"/>
        <v/>
      </c>
      <c r="K17" t="s">
        <v>15</v>
      </c>
      <c r="L17">
        <v>152</v>
      </c>
      <c r="M17">
        <f t="shared" si="13"/>
        <v>19.842696629213492</v>
      </c>
      <c r="N17" t="str">
        <f t="shared" si="2"/>
        <v/>
      </c>
      <c r="S17" t="s">
        <v>16</v>
      </c>
      <c r="T17">
        <v>125</v>
      </c>
      <c r="U17">
        <f t="shared" si="3"/>
        <v>47.72727272727272</v>
      </c>
      <c r="V17" t="str">
        <f t="shared" si="4"/>
        <v/>
      </c>
      <c r="AA17" t="s">
        <v>16</v>
      </c>
      <c r="AB17">
        <v>125</v>
      </c>
      <c r="AC17">
        <f t="shared" si="5"/>
        <v>49.36904761904762</v>
      </c>
      <c r="AD17" t="str">
        <f t="shared" si="6"/>
        <v/>
      </c>
      <c r="AI17" t="s">
        <v>17</v>
      </c>
      <c r="AJ17">
        <v>151</v>
      </c>
      <c r="AK17">
        <f t="shared" si="14"/>
        <v>23.474999999999994</v>
      </c>
      <c r="AL17" t="str">
        <f t="shared" si="15"/>
        <v/>
      </c>
      <c r="AT17" t="s">
        <v>15</v>
      </c>
      <c r="AU17">
        <v>152</v>
      </c>
      <c r="AX17" t="s">
        <v>117</v>
      </c>
      <c r="BA17" s="3" t="s">
        <v>53</v>
      </c>
      <c r="BB17" s="3">
        <v>192</v>
      </c>
      <c r="BC17">
        <f t="shared" si="9"/>
        <v>369.03999999999996</v>
      </c>
      <c r="BD17" t="str">
        <f t="shared" si="10"/>
        <v/>
      </c>
      <c r="BH17" s="3" t="s">
        <v>52</v>
      </c>
      <c r="BI17" s="3">
        <v>61</v>
      </c>
      <c r="BJ17">
        <f t="shared" si="16"/>
        <v>500.03999999999996</v>
      </c>
      <c r="BK17" t="str">
        <f t="shared" si="12"/>
        <v/>
      </c>
      <c r="BP17" s="3" t="s">
        <v>118</v>
      </c>
      <c r="BS17" s="3" t="s">
        <v>52</v>
      </c>
    </row>
    <row r="18" spans="3:71">
      <c r="C18" t="s">
        <v>16</v>
      </c>
      <c r="D18">
        <v>125</v>
      </c>
      <c r="E18">
        <f t="shared" si="0"/>
        <v>42.880434782608688</v>
      </c>
      <c r="F18" t="str">
        <f t="shared" si="1"/>
        <v/>
      </c>
      <c r="K18" t="s">
        <v>16</v>
      </c>
      <c r="L18">
        <v>125</v>
      </c>
      <c r="M18">
        <f t="shared" si="13"/>
        <v>46.842696629213492</v>
      </c>
      <c r="N18" t="str">
        <f t="shared" si="2"/>
        <v/>
      </c>
      <c r="S18" t="s">
        <v>17</v>
      </c>
      <c r="T18">
        <v>151</v>
      </c>
      <c r="U18">
        <f t="shared" si="3"/>
        <v>21.72727272727272</v>
      </c>
      <c r="V18" t="str">
        <f t="shared" si="4"/>
        <v/>
      </c>
      <c r="AA18" t="s">
        <v>17</v>
      </c>
      <c r="AB18">
        <v>151</v>
      </c>
      <c r="AC18">
        <f t="shared" si="5"/>
        <v>23.36904761904762</v>
      </c>
      <c r="AD18" t="str">
        <f t="shared" si="6"/>
        <v/>
      </c>
      <c r="AI18" t="s">
        <v>18</v>
      </c>
      <c r="AJ18">
        <v>225</v>
      </c>
      <c r="AK18">
        <f t="shared" si="14"/>
        <v>50.525000000000006</v>
      </c>
      <c r="AL18" t="str">
        <f t="shared" si="15"/>
        <v/>
      </c>
      <c r="AT18" t="s">
        <v>16</v>
      </c>
      <c r="AU18">
        <v>125</v>
      </c>
      <c r="AX18" t="s">
        <v>46</v>
      </c>
      <c r="BA18" s="3" t="s">
        <v>119</v>
      </c>
      <c r="BB18" s="3">
        <v>459</v>
      </c>
      <c r="BC18">
        <f t="shared" si="9"/>
        <v>102.03999999999996</v>
      </c>
      <c r="BD18" t="str">
        <f t="shared" si="10"/>
        <v/>
      </c>
      <c r="BH18" s="3" t="s">
        <v>53</v>
      </c>
      <c r="BI18" s="3">
        <v>192</v>
      </c>
      <c r="BJ18">
        <f t="shared" si="16"/>
        <v>369.03999999999996</v>
      </c>
      <c r="BK18" t="str">
        <f t="shared" si="12"/>
        <v/>
      </c>
      <c r="BP18" s="3" t="s">
        <v>52</v>
      </c>
      <c r="BS18" s="3" t="s">
        <v>53</v>
      </c>
    </row>
    <row r="19" spans="3:71">
      <c r="C19" t="s">
        <v>17</v>
      </c>
      <c r="D19">
        <v>151</v>
      </c>
      <c r="E19">
        <f t="shared" si="0"/>
        <v>16.880434782608688</v>
      </c>
      <c r="F19" t="str">
        <f t="shared" si="1"/>
        <v/>
      </c>
      <c r="K19" t="s">
        <v>17</v>
      </c>
      <c r="L19">
        <v>151</v>
      </c>
      <c r="M19">
        <f t="shared" si="13"/>
        <v>20.842696629213492</v>
      </c>
      <c r="N19" t="str">
        <f t="shared" si="2"/>
        <v/>
      </c>
      <c r="S19" t="s">
        <v>18</v>
      </c>
      <c r="T19">
        <v>225</v>
      </c>
      <c r="U19">
        <f t="shared" si="3"/>
        <v>52.27272727272728</v>
      </c>
      <c r="V19" t="str">
        <f t="shared" si="4"/>
        <v/>
      </c>
      <c r="AA19" t="s">
        <v>18</v>
      </c>
      <c r="AB19">
        <v>225</v>
      </c>
      <c r="AC19">
        <f t="shared" si="5"/>
        <v>50.63095238095238</v>
      </c>
      <c r="AD19" t="str">
        <f t="shared" si="6"/>
        <v/>
      </c>
      <c r="AI19" t="s">
        <v>19</v>
      </c>
      <c r="AJ19">
        <v>183</v>
      </c>
      <c r="AK19">
        <f t="shared" si="14"/>
        <v>8.5250000000000057</v>
      </c>
      <c r="AL19" t="str">
        <f t="shared" si="15"/>
        <v/>
      </c>
      <c r="AR19" t="s">
        <v>112</v>
      </c>
      <c r="AS19">
        <v>792</v>
      </c>
      <c r="AT19" t="s">
        <v>17</v>
      </c>
      <c r="AU19">
        <v>151</v>
      </c>
      <c r="AX19" t="s">
        <v>140</v>
      </c>
      <c r="BA19" s="3" t="s">
        <v>120</v>
      </c>
      <c r="BB19" s="3">
        <v>241</v>
      </c>
      <c r="BC19">
        <f t="shared" si="9"/>
        <v>320.03999999999996</v>
      </c>
      <c r="BD19" t="str">
        <f t="shared" si="10"/>
        <v/>
      </c>
      <c r="BH19" s="3" t="s">
        <v>119</v>
      </c>
      <c r="BI19" s="3">
        <v>459</v>
      </c>
      <c r="BJ19">
        <f t="shared" si="16"/>
        <v>102.03999999999996</v>
      </c>
      <c r="BK19" t="str">
        <f t="shared" si="12"/>
        <v/>
      </c>
      <c r="BP19" s="3" t="s">
        <v>53</v>
      </c>
      <c r="BS19" s="3" t="s">
        <v>119</v>
      </c>
    </row>
    <row r="20" spans="3:71">
      <c r="C20" t="s">
        <v>18</v>
      </c>
      <c r="D20">
        <v>225</v>
      </c>
      <c r="E20">
        <f t="shared" si="0"/>
        <v>57.119565217391312</v>
      </c>
      <c r="F20" t="str">
        <f t="shared" si="1"/>
        <v/>
      </c>
      <c r="K20" t="s">
        <v>18</v>
      </c>
      <c r="L20">
        <v>225</v>
      </c>
      <c r="M20">
        <f t="shared" si="13"/>
        <v>53.157303370786508</v>
      </c>
      <c r="N20" t="str">
        <f t="shared" si="2"/>
        <v/>
      </c>
      <c r="S20" t="s">
        <v>19</v>
      </c>
      <c r="T20">
        <v>183</v>
      </c>
      <c r="U20">
        <f t="shared" si="3"/>
        <v>10.27272727272728</v>
      </c>
      <c r="V20" t="str">
        <f t="shared" si="4"/>
        <v/>
      </c>
      <c r="AA20" t="s">
        <v>19</v>
      </c>
      <c r="AB20">
        <v>183</v>
      </c>
      <c r="AC20">
        <f t="shared" si="5"/>
        <v>8.6309523809523796</v>
      </c>
      <c r="AD20" t="str">
        <f t="shared" si="6"/>
        <v/>
      </c>
      <c r="AI20" t="s">
        <v>21</v>
      </c>
      <c r="AJ20">
        <v>198</v>
      </c>
      <c r="AK20">
        <f t="shared" si="14"/>
        <v>23.525000000000006</v>
      </c>
      <c r="AL20" t="str">
        <f t="shared" si="15"/>
        <v/>
      </c>
      <c r="AT20" t="s">
        <v>18</v>
      </c>
      <c r="AU20">
        <v>225</v>
      </c>
      <c r="AX20" t="s">
        <v>118</v>
      </c>
      <c r="BA20" s="3" t="s">
        <v>141</v>
      </c>
      <c r="BB20" s="3">
        <v>1243</v>
      </c>
      <c r="BC20">
        <f t="shared" si="9"/>
        <v>681.96</v>
      </c>
      <c r="BD20" t="str">
        <f t="shared" si="10"/>
        <v/>
      </c>
      <c r="BH20" s="3" t="s">
        <v>120</v>
      </c>
      <c r="BI20" s="3">
        <v>241</v>
      </c>
      <c r="BJ20">
        <f t="shared" si="16"/>
        <v>320.03999999999996</v>
      </c>
      <c r="BK20" t="str">
        <f t="shared" si="12"/>
        <v/>
      </c>
      <c r="BP20" s="3" t="s">
        <v>119</v>
      </c>
      <c r="BS20" s="3" t="s">
        <v>120</v>
      </c>
    </row>
    <row r="21" spans="3:71">
      <c r="C21" t="s">
        <v>19</v>
      </c>
      <c r="D21">
        <v>183</v>
      </c>
      <c r="E21">
        <f t="shared" si="0"/>
        <v>15.119565217391312</v>
      </c>
      <c r="F21" t="str">
        <f t="shared" si="1"/>
        <v/>
      </c>
      <c r="K21" t="s">
        <v>19</v>
      </c>
      <c r="L21">
        <v>183</v>
      </c>
      <c r="M21">
        <f t="shared" si="13"/>
        <v>11.157303370786508</v>
      </c>
      <c r="N21" t="str">
        <f t="shared" si="2"/>
        <v/>
      </c>
      <c r="S21" t="s">
        <v>20</v>
      </c>
      <c r="T21">
        <v>108</v>
      </c>
      <c r="U21">
        <f t="shared" si="3"/>
        <v>64.72727272727272</v>
      </c>
      <c r="V21" t="str">
        <f t="shared" si="4"/>
        <v>Outlier</v>
      </c>
      <c r="AA21" t="s">
        <v>21</v>
      </c>
      <c r="AB21">
        <v>198</v>
      </c>
      <c r="AC21">
        <f t="shared" si="5"/>
        <v>23.63095238095238</v>
      </c>
      <c r="AD21" t="str">
        <f t="shared" si="6"/>
        <v/>
      </c>
      <c r="AI21" t="s">
        <v>22</v>
      </c>
      <c r="AJ21">
        <v>125</v>
      </c>
      <c r="AK21">
        <f t="shared" si="14"/>
        <v>49.474999999999994</v>
      </c>
      <c r="AL21" t="str">
        <f t="shared" si="15"/>
        <v/>
      </c>
      <c r="AT21" t="s">
        <v>19</v>
      </c>
      <c r="AU21">
        <v>183</v>
      </c>
      <c r="BA21" s="3" t="s">
        <v>142</v>
      </c>
      <c r="BB21" s="3">
        <v>1081</v>
      </c>
      <c r="BC21">
        <f t="shared" si="9"/>
        <v>519.96</v>
      </c>
      <c r="BD21" t="str">
        <f t="shared" si="10"/>
        <v/>
      </c>
      <c r="BH21" s="3" t="s">
        <v>141</v>
      </c>
      <c r="BI21" s="3">
        <v>1243</v>
      </c>
      <c r="BJ21">
        <f t="shared" si="16"/>
        <v>681.96</v>
      </c>
      <c r="BK21" t="str">
        <f t="shared" si="12"/>
        <v/>
      </c>
      <c r="BP21" s="3" t="s">
        <v>120</v>
      </c>
      <c r="BS21" s="3" t="s">
        <v>141</v>
      </c>
    </row>
    <row r="22" spans="3:71">
      <c r="C22" t="s">
        <v>20</v>
      </c>
      <c r="D22">
        <v>108</v>
      </c>
      <c r="E22">
        <f t="shared" si="0"/>
        <v>59.880434782608688</v>
      </c>
      <c r="F22" t="str">
        <f t="shared" si="1"/>
        <v/>
      </c>
      <c r="K22" t="s">
        <v>20</v>
      </c>
      <c r="L22">
        <v>108</v>
      </c>
      <c r="M22">
        <f t="shared" si="13"/>
        <v>63.842696629213492</v>
      </c>
      <c r="N22" t="str">
        <f t="shared" si="2"/>
        <v/>
      </c>
      <c r="S22" t="s">
        <v>21</v>
      </c>
      <c r="T22">
        <v>198</v>
      </c>
      <c r="U22">
        <f t="shared" si="3"/>
        <v>25.27272727272728</v>
      </c>
      <c r="V22" t="str">
        <f t="shared" si="4"/>
        <v/>
      </c>
      <c r="AA22" t="s">
        <v>22</v>
      </c>
      <c r="AB22">
        <v>125</v>
      </c>
      <c r="AC22">
        <f t="shared" si="5"/>
        <v>49.36904761904762</v>
      </c>
      <c r="AD22" t="str">
        <f t="shared" si="6"/>
        <v/>
      </c>
      <c r="AI22" t="s">
        <v>23</v>
      </c>
      <c r="AJ22">
        <v>172</v>
      </c>
      <c r="AK22">
        <f t="shared" si="14"/>
        <v>2.4749999999999943</v>
      </c>
      <c r="AL22" t="str">
        <f t="shared" si="15"/>
        <v/>
      </c>
      <c r="AT22" s="4" t="s">
        <v>20</v>
      </c>
      <c r="AU22" s="4">
        <v>108</v>
      </c>
      <c r="AX22" t="s">
        <v>52</v>
      </c>
      <c r="BA22" s="3" t="s">
        <v>123</v>
      </c>
      <c r="BB22" s="3">
        <v>498</v>
      </c>
      <c r="BC22">
        <f t="shared" si="9"/>
        <v>63.039999999999964</v>
      </c>
      <c r="BD22" t="str">
        <f t="shared" si="10"/>
        <v/>
      </c>
      <c r="BH22" s="3" t="s">
        <v>142</v>
      </c>
      <c r="BI22" s="3">
        <v>1081</v>
      </c>
      <c r="BJ22">
        <f t="shared" si="16"/>
        <v>519.96</v>
      </c>
      <c r="BK22" t="str">
        <f t="shared" si="12"/>
        <v/>
      </c>
      <c r="BP22" s="3" t="s">
        <v>141</v>
      </c>
      <c r="BS22" s="3" t="s">
        <v>142</v>
      </c>
    </row>
    <row r="23" spans="3:71">
      <c r="C23" t="s">
        <v>21</v>
      </c>
      <c r="D23">
        <v>198</v>
      </c>
      <c r="E23">
        <f t="shared" si="0"/>
        <v>30.119565217391312</v>
      </c>
      <c r="F23" t="str">
        <f t="shared" si="1"/>
        <v/>
      </c>
      <c r="K23" t="s">
        <v>21</v>
      </c>
      <c r="L23">
        <v>198</v>
      </c>
      <c r="M23">
        <f t="shared" si="13"/>
        <v>26.157303370786508</v>
      </c>
      <c r="N23" t="str">
        <f t="shared" si="2"/>
        <v/>
      </c>
      <c r="S23" t="s">
        <v>22</v>
      </c>
      <c r="T23">
        <v>125</v>
      </c>
      <c r="U23">
        <f t="shared" si="3"/>
        <v>47.72727272727272</v>
      </c>
      <c r="V23" t="str">
        <f t="shared" si="4"/>
        <v/>
      </c>
      <c r="AA23" t="s">
        <v>23</v>
      </c>
      <c r="AB23">
        <v>172</v>
      </c>
      <c r="AC23">
        <f t="shared" si="5"/>
        <v>2.3690476190476204</v>
      </c>
      <c r="AD23" t="str">
        <f t="shared" si="6"/>
        <v/>
      </c>
      <c r="AI23" t="s">
        <v>24</v>
      </c>
      <c r="AJ23">
        <v>217</v>
      </c>
      <c r="AK23">
        <f t="shared" si="14"/>
        <v>42.525000000000006</v>
      </c>
      <c r="AL23" t="str">
        <f t="shared" si="15"/>
        <v/>
      </c>
      <c r="AT23" t="s">
        <v>21</v>
      </c>
      <c r="AU23">
        <v>198</v>
      </c>
      <c r="AX23" t="s">
        <v>53</v>
      </c>
      <c r="BA23" s="3" t="s">
        <v>124</v>
      </c>
      <c r="BB23" s="3">
        <v>571</v>
      </c>
      <c r="BC23">
        <f t="shared" si="9"/>
        <v>9.9600000000000364</v>
      </c>
      <c r="BD23" t="str">
        <f t="shared" si="10"/>
        <v/>
      </c>
      <c r="BH23" s="3" t="s">
        <v>123</v>
      </c>
      <c r="BI23" s="3">
        <v>498</v>
      </c>
      <c r="BJ23">
        <f t="shared" si="16"/>
        <v>63.039999999999964</v>
      </c>
      <c r="BK23" t="str">
        <f t="shared" si="12"/>
        <v/>
      </c>
      <c r="BP23" s="3" t="s">
        <v>142</v>
      </c>
      <c r="BS23" s="3" t="s">
        <v>123</v>
      </c>
    </row>
    <row r="24" spans="3:71">
      <c r="C24" t="s">
        <v>22</v>
      </c>
      <c r="D24">
        <v>125</v>
      </c>
      <c r="E24">
        <f t="shared" si="0"/>
        <v>42.880434782608688</v>
      </c>
      <c r="F24" t="str">
        <f t="shared" si="1"/>
        <v/>
      </c>
      <c r="K24" t="s">
        <v>22</v>
      </c>
      <c r="L24">
        <v>125</v>
      </c>
      <c r="M24">
        <f t="shared" si="13"/>
        <v>46.842696629213492</v>
      </c>
      <c r="N24" t="str">
        <f t="shared" si="2"/>
        <v/>
      </c>
      <c r="S24" t="s">
        <v>23</v>
      </c>
      <c r="T24">
        <v>172</v>
      </c>
      <c r="U24">
        <f t="shared" si="3"/>
        <v>0.72727272727271952</v>
      </c>
      <c r="V24" t="str">
        <f t="shared" si="4"/>
        <v/>
      </c>
      <c r="AA24" t="s">
        <v>24</v>
      </c>
      <c r="AB24">
        <v>217</v>
      </c>
      <c r="AC24">
        <f t="shared" si="5"/>
        <v>42.63095238095238</v>
      </c>
      <c r="AD24" t="str">
        <f t="shared" si="6"/>
        <v/>
      </c>
      <c r="AI24" t="s">
        <v>25</v>
      </c>
      <c r="AJ24">
        <v>191</v>
      </c>
      <c r="AK24">
        <f t="shared" si="14"/>
        <v>16.525000000000006</v>
      </c>
      <c r="AL24" t="str">
        <f t="shared" si="15"/>
        <v/>
      </c>
      <c r="AR24" t="s">
        <v>113</v>
      </c>
      <c r="AS24">
        <v>1241</v>
      </c>
      <c r="AT24" t="s">
        <v>22</v>
      </c>
      <c r="AU24">
        <v>125</v>
      </c>
      <c r="AX24" t="s">
        <v>119</v>
      </c>
      <c r="BA24" s="3" t="s">
        <v>88</v>
      </c>
      <c r="BB24" s="3">
        <v>44</v>
      </c>
      <c r="BC24">
        <f t="shared" si="9"/>
        <v>517.04</v>
      </c>
      <c r="BD24" t="str">
        <f t="shared" si="10"/>
        <v/>
      </c>
      <c r="BH24" s="3" t="s">
        <v>124</v>
      </c>
      <c r="BI24" s="3">
        <v>571</v>
      </c>
      <c r="BJ24">
        <f t="shared" si="16"/>
        <v>9.9600000000000364</v>
      </c>
      <c r="BK24" t="str">
        <f t="shared" si="12"/>
        <v/>
      </c>
      <c r="BP24" s="3" t="s">
        <v>123</v>
      </c>
      <c r="BS24" s="3" t="s">
        <v>124</v>
      </c>
    </row>
    <row r="25" spans="3:71">
      <c r="C25" t="s">
        <v>23</v>
      </c>
      <c r="D25">
        <v>172</v>
      </c>
      <c r="E25">
        <f t="shared" si="0"/>
        <v>4.1195652173913118</v>
      </c>
      <c r="F25" t="str">
        <f t="shared" si="1"/>
        <v/>
      </c>
      <c r="K25" t="s">
        <v>23</v>
      </c>
      <c r="L25">
        <v>172</v>
      </c>
      <c r="M25">
        <f t="shared" si="13"/>
        <v>0.15730337078650791</v>
      </c>
      <c r="N25" t="str">
        <f t="shared" si="2"/>
        <v/>
      </c>
      <c r="S25" t="s">
        <v>24</v>
      </c>
      <c r="T25">
        <v>217</v>
      </c>
      <c r="U25">
        <f t="shared" si="3"/>
        <v>44.27272727272728</v>
      </c>
      <c r="V25" t="str">
        <f t="shared" si="4"/>
        <v/>
      </c>
      <c r="AA25" t="s">
        <v>25</v>
      </c>
      <c r="AB25">
        <v>191</v>
      </c>
      <c r="AC25">
        <f t="shared" si="5"/>
        <v>16.63095238095238</v>
      </c>
      <c r="AD25" t="str">
        <f t="shared" si="6"/>
        <v/>
      </c>
      <c r="AI25" t="s">
        <v>26</v>
      </c>
      <c r="AJ25">
        <v>143</v>
      </c>
      <c r="AK25">
        <f t="shared" si="14"/>
        <v>31.474999999999994</v>
      </c>
      <c r="AL25" t="str">
        <f t="shared" si="15"/>
        <v/>
      </c>
      <c r="AT25" t="s">
        <v>23</v>
      </c>
      <c r="AU25">
        <v>172</v>
      </c>
      <c r="AX25" t="s">
        <v>120</v>
      </c>
      <c r="BA25" s="3" t="s">
        <v>125</v>
      </c>
      <c r="BB25" s="3">
        <v>547</v>
      </c>
      <c r="BC25">
        <f t="shared" si="9"/>
        <v>14.039999999999964</v>
      </c>
      <c r="BD25" t="str">
        <f t="shared" si="10"/>
        <v/>
      </c>
      <c r="BH25" s="3" t="s">
        <v>88</v>
      </c>
      <c r="BI25" s="3">
        <v>44</v>
      </c>
      <c r="BJ25">
        <f t="shared" si="16"/>
        <v>517.04</v>
      </c>
      <c r="BK25" t="str">
        <f t="shared" si="12"/>
        <v/>
      </c>
      <c r="BP25" s="3" t="s">
        <v>124</v>
      </c>
      <c r="BS25" s="3" t="s">
        <v>88</v>
      </c>
    </row>
    <row r="26" spans="3:71">
      <c r="C26" t="s">
        <v>24</v>
      </c>
      <c r="D26">
        <v>217</v>
      </c>
      <c r="E26">
        <f t="shared" si="0"/>
        <v>49.119565217391312</v>
      </c>
      <c r="F26" t="str">
        <f t="shared" si="1"/>
        <v/>
      </c>
      <c r="K26" t="s">
        <v>24</v>
      </c>
      <c r="L26">
        <v>217</v>
      </c>
      <c r="M26">
        <f t="shared" si="13"/>
        <v>45.157303370786508</v>
      </c>
      <c r="N26" t="str">
        <f t="shared" si="2"/>
        <v/>
      </c>
      <c r="S26" t="s">
        <v>25</v>
      </c>
      <c r="T26">
        <v>191</v>
      </c>
      <c r="U26">
        <f t="shared" si="3"/>
        <v>18.27272727272728</v>
      </c>
      <c r="V26" t="str">
        <f t="shared" si="4"/>
        <v/>
      </c>
      <c r="AA26" t="s">
        <v>26</v>
      </c>
      <c r="AB26">
        <v>143</v>
      </c>
      <c r="AC26">
        <f t="shared" si="5"/>
        <v>31.36904761904762</v>
      </c>
      <c r="AD26" t="str">
        <f t="shared" si="6"/>
        <v/>
      </c>
      <c r="AI26" t="s">
        <v>27</v>
      </c>
      <c r="AJ26">
        <v>195</v>
      </c>
      <c r="AK26">
        <f t="shared" si="14"/>
        <v>20.525000000000006</v>
      </c>
      <c r="AL26" t="str">
        <f t="shared" si="15"/>
        <v/>
      </c>
      <c r="AT26" t="s">
        <v>24</v>
      </c>
      <c r="AU26">
        <v>217</v>
      </c>
      <c r="BC26">
        <f>ABS(BB25-$BF$2)</f>
        <v>14.039999999999964</v>
      </c>
      <c r="BD26" t="str">
        <f t="shared" si="10"/>
        <v/>
      </c>
      <c r="BH26" s="3" t="s">
        <v>125</v>
      </c>
      <c r="BI26" s="3">
        <v>547</v>
      </c>
      <c r="BJ26">
        <f t="shared" si="16"/>
        <v>14.039999999999964</v>
      </c>
      <c r="BK26" t="str">
        <f t="shared" si="12"/>
        <v/>
      </c>
      <c r="BP26" s="3" t="s">
        <v>88</v>
      </c>
      <c r="BS26" s="3" t="s">
        <v>125</v>
      </c>
    </row>
    <row r="27" spans="3:71">
      <c r="C27" t="s">
        <v>25</v>
      </c>
      <c r="D27">
        <v>191</v>
      </c>
      <c r="E27">
        <f t="shared" si="0"/>
        <v>23.119565217391312</v>
      </c>
      <c r="F27" t="str">
        <f t="shared" si="1"/>
        <v/>
      </c>
      <c r="K27" t="s">
        <v>25</v>
      </c>
      <c r="L27">
        <v>191</v>
      </c>
      <c r="M27">
        <f t="shared" si="13"/>
        <v>19.157303370786508</v>
      </c>
      <c r="N27" t="str">
        <f t="shared" si="2"/>
        <v/>
      </c>
      <c r="S27" t="s">
        <v>26</v>
      </c>
      <c r="T27">
        <v>143</v>
      </c>
      <c r="U27">
        <f t="shared" si="3"/>
        <v>29.72727272727272</v>
      </c>
      <c r="V27" t="str">
        <f t="shared" si="4"/>
        <v/>
      </c>
      <c r="AA27" t="s">
        <v>27</v>
      </c>
      <c r="AB27">
        <v>195</v>
      </c>
      <c r="AC27">
        <f t="shared" si="5"/>
        <v>20.63095238095238</v>
      </c>
      <c r="AD27" t="str">
        <f t="shared" si="6"/>
        <v/>
      </c>
      <c r="AI27" t="s">
        <v>28</v>
      </c>
      <c r="AJ27">
        <v>214</v>
      </c>
      <c r="AK27">
        <f t="shared" si="14"/>
        <v>39.525000000000006</v>
      </c>
      <c r="AL27" t="str">
        <f t="shared" si="15"/>
        <v/>
      </c>
      <c r="AT27" t="s">
        <v>25</v>
      </c>
      <c r="AU27">
        <v>191</v>
      </c>
      <c r="BD27" t="str">
        <f t="shared" ref="BD3:BD28" si="17">IF(BC27&gt;$BF$5, "Outlier", "")</f>
        <v/>
      </c>
      <c r="BK27" t="str">
        <f>IF(BJ26&gt;$BF$5, "Outlier", "")</f>
        <v/>
      </c>
      <c r="BP27" s="3" t="s">
        <v>125</v>
      </c>
    </row>
    <row r="28" spans="3:71">
      <c r="C28" t="s">
        <v>26</v>
      </c>
      <c r="D28">
        <v>143</v>
      </c>
      <c r="E28">
        <f t="shared" si="0"/>
        <v>24.880434782608688</v>
      </c>
      <c r="F28" t="str">
        <f t="shared" si="1"/>
        <v/>
      </c>
      <c r="K28" t="s">
        <v>26</v>
      </c>
      <c r="L28">
        <v>143</v>
      </c>
      <c r="M28">
        <f t="shared" si="13"/>
        <v>28.842696629213492</v>
      </c>
      <c r="N28" t="str">
        <f t="shared" si="2"/>
        <v/>
      </c>
      <c r="S28" t="s">
        <v>27</v>
      </c>
      <c r="T28">
        <v>195</v>
      </c>
      <c r="U28">
        <f t="shared" si="3"/>
        <v>22.27272727272728</v>
      </c>
      <c r="V28" t="str">
        <f t="shared" si="4"/>
        <v/>
      </c>
      <c r="AA28" t="s">
        <v>28</v>
      </c>
      <c r="AB28">
        <v>214</v>
      </c>
      <c r="AC28">
        <f t="shared" si="5"/>
        <v>39.63095238095238</v>
      </c>
      <c r="AD28" t="str">
        <f t="shared" si="6"/>
        <v/>
      </c>
      <c r="AI28" t="s">
        <v>29</v>
      </c>
      <c r="AJ28">
        <v>176</v>
      </c>
      <c r="AK28">
        <f t="shared" si="14"/>
        <v>1.5250000000000057</v>
      </c>
      <c r="AL28" t="str">
        <f t="shared" si="15"/>
        <v/>
      </c>
      <c r="AT28" t="s">
        <v>26</v>
      </c>
      <c r="AU28">
        <v>143</v>
      </c>
      <c r="AX28" t="s">
        <v>141</v>
      </c>
      <c r="BD28" t="str">
        <f t="shared" si="17"/>
        <v/>
      </c>
    </row>
    <row r="29" spans="3:71">
      <c r="C29" t="s">
        <v>27</v>
      </c>
      <c r="D29">
        <v>195</v>
      </c>
      <c r="E29">
        <f t="shared" si="0"/>
        <v>27.119565217391312</v>
      </c>
      <c r="F29" t="str">
        <f t="shared" si="1"/>
        <v/>
      </c>
      <c r="K29" t="s">
        <v>27</v>
      </c>
      <c r="L29">
        <v>195</v>
      </c>
      <c r="M29">
        <f t="shared" si="13"/>
        <v>23.157303370786508</v>
      </c>
      <c r="N29" t="str">
        <f t="shared" si="2"/>
        <v/>
      </c>
      <c r="S29" t="s">
        <v>28</v>
      </c>
      <c r="T29">
        <v>214</v>
      </c>
      <c r="U29">
        <f t="shared" si="3"/>
        <v>41.27272727272728</v>
      </c>
      <c r="V29" t="str">
        <f t="shared" si="4"/>
        <v/>
      </c>
      <c r="AA29" t="s">
        <v>29</v>
      </c>
      <c r="AB29">
        <v>176</v>
      </c>
      <c r="AC29">
        <f t="shared" si="5"/>
        <v>1.6309523809523796</v>
      </c>
      <c r="AD29" t="str">
        <f t="shared" si="6"/>
        <v/>
      </c>
      <c r="AI29" t="s">
        <v>30</v>
      </c>
      <c r="AJ29">
        <v>133</v>
      </c>
      <c r="AK29">
        <f t="shared" si="14"/>
        <v>41.474999999999994</v>
      </c>
      <c r="AL29" t="str">
        <f t="shared" si="15"/>
        <v/>
      </c>
      <c r="AT29" t="s">
        <v>27</v>
      </c>
      <c r="AU29">
        <v>195</v>
      </c>
      <c r="AX29" t="s">
        <v>142</v>
      </c>
    </row>
    <row r="30" spans="3:71">
      <c r="C30" t="s">
        <v>28</v>
      </c>
      <c r="D30">
        <v>214</v>
      </c>
      <c r="E30">
        <f t="shared" si="0"/>
        <v>46.119565217391312</v>
      </c>
      <c r="F30" t="str">
        <f t="shared" si="1"/>
        <v/>
      </c>
      <c r="K30" t="s">
        <v>28</v>
      </c>
      <c r="L30">
        <v>214</v>
      </c>
      <c r="M30">
        <f t="shared" si="13"/>
        <v>42.157303370786508</v>
      </c>
      <c r="N30" t="str">
        <f t="shared" si="2"/>
        <v/>
      </c>
      <c r="S30" t="s">
        <v>29</v>
      </c>
      <c r="T30">
        <v>176</v>
      </c>
      <c r="U30">
        <f t="shared" si="3"/>
        <v>3.2727272727272805</v>
      </c>
      <c r="V30" t="str">
        <f t="shared" si="4"/>
        <v/>
      </c>
      <c r="AA30" t="s">
        <v>30</v>
      </c>
      <c r="AB30">
        <v>133</v>
      </c>
      <c r="AC30">
        <f t="shared" si="5"/>
        <v>41.36904761904762</v>
      </c>
      <c r="AD30" t="str">
        <f t="shared" si="6"/>
        <v/>
      </c>
      <c r="AI30" t="s">
        <v>32</v>
      </c>
      <c r="AJ30">
        <v>169</v>
      </c>
      <c r="AK30">
        <f t="shared" si="14"/>
        <v>5.4749999999999943</v>
      </c>
      <c r="AL30" t="str">
        <f t="shared" si="15"/>
        <v/>
      </c>
      <c r="AR30" t="s">
        <v>28</v>
      </c>
      <c r="AS30">
        <v>214</v>
      </c>
      <c r="AT30" t="s">
        <v>28</v>
      </c>
      <c r="AU30">
        <v>214</v>
      </c>
      <c r="AX30" t="s">
        <v>123</v>
      </c>
    </row>
    <row r="31" spans="3:71">
      <c r="C31" t="s">
        <v>29</v>
      </c>
      <c r="D31">
        <v>176</v>
      </c>
      <c r="E31">
        <f t="shared" si="0"/>
        <v>8.1195652173913118</v>
      </c>
      <c r="F31" t="str">
        <f t="shared" si="1"/>
        <v/>
      </c>
      <c r="K31" t="s">
        <v>29</v>
      </c>
      <c r="L31">
        <v>176</v>
      </c>
      <c r="M31">
        <f t="shared" si="13"/>
        <v>4.1573033707865079</v>
      </c>
      <c r="N31" t="str">
        <f t="shared" si="2"/>
        <v/>
      </c>
      <c r="S31" t="s">
        <v>30</v>
      </c>
      <c r="T31">
        <v>133</v>
      </c>
      <c r="U31">
        <f t="shared" si="3"/>
        <v>39.72727272727272</v>
      </c>
      <c r="V31" t="str">
        <f t="shared" si="4"/>
        <v/>
      </c>
      <c r="AA31" t="s">
        <v>31</v>
      </c>
      <c r="AB31">
        <v>109</v>
      </c>
      <c r="AC31">
        <f t="shared" si="5"/>
        <v>65.36904761904762</v>
      </c>
      <c r="AD31" t="str">
        <f t="shared" si="6"/>
        <v>Outlier</v>
      </c>
      <c r="AI31" t="s">
        <v>33</v>
      </c>
      <c r="AJ31">
        <v>181</v>
      </c>
      <c r="AK31">
        <f t="shared" si="14"/>
        <v>6.5250000000000057</v>
      </c>
      <c r="AL31" t="str">
        <f t="shared" si="15"/>
        <v/>
      </c>
      <c r="AR31" t="s">
        <v>114</v>
      </c>
      <c r="AS31">
        <v>397</v>
      </c>
      <c r="AT31" t="s">
        <v>29</v>
      </c>
      <c r="AU31">
        <v>176</v>
      </c>
      <c r="AX31" t="s">
        <v>143</v>
      </c>
    </row>
    <row r="32" spans="3:71">
      <c r="C32" t="s">
        <v>30</v>
      </c>
      <c r="D32">
        <v>133</v>
      </c>
      <c r="E32">
        <f t="shared" si="0"/>
        <v>34.880434782608688</v>
      </c>
      <c r="F32" t="str">
        <f t="shared" si="1"/>
        <v/>
      </c>
      <c r="K32" t="s">
        <v>30</v>
      </c>
      <c r="L32">
        <v>133</v>
      </c>
      <c r="M32">
        <f t="shared" si="13"/>
        <v>38.842696629213492</v>
      </c>
      <c r="N32" t="str">
        <f t="shared" si="2"/>
        <v/>
      </c>
      <c r="S32" t="s">
        <v>31</v>
      </c>
      <c r="T32">
        <v>109</v>
      </c>
      <c r="U32">
        <f t="shared" si="3"/>
        <v>63.72727272727272</v>
      </c>
      <c r="V32" t="str">
        <f t="shared" si="4"/>
        <v/>
      </c>
      <c r="AA32" t="s">
        <v>32</v>
      </c>
      <c r="AB32">
        <v>169</v>
      </c>
      <c r="AC32">
        <f t="shared" si="5"/>
        <v>5.3690476190476204</v>
      </c>
      <c r="AD32" t="str">
        <f t="shared" si="6"/>
        <v/>
      </c>
      <c r="AI32" t="s">
        <v>34</v>
      </c>
      <c r="AJ32">
        <v>179</v>
      </c>
      <c r="AK32">
        <f t="shared" si="14"/>
        <v>4.5250000000000057</v>
      </c>
      <c r="AL32" t="str">
        <f t="shared" si="15"/>
        <v/>
      </c>
      <c r="AR32" t="s">
        <v>115</v>
      </c>
      <c r="AS32">
        <v>1319</v>
      </c>
      <c r="AT32" t="s">
        <v>30</v>
      </c>
      <c r="AU32">
        <v>133</v>
      </c>
      <c r="AX32" t="s">
        <v>124</v>
      </c>
    </row>
    <row r="33" spans="3:50">
      <c r="C33" t="s">
        <v>31</v>
      </c>
      <c r="D33">
        <v>109</v>
      </c>
      <c r="E33">
        <f t="shared" si="0"/>
        <v>58.880434782608688</v>
      </c>
      <c r="F33" t="str">
        <f t="shared" si="1"/>
        <v/>
      </c>
      <c r="K33" t="s">
        <v>31</v>
      </c>
      <c r="L33">
        <v>109</v>
      </c>
      <c r="M33">
        <f t="shared" si="13"/>
        <v>62.842696629213492</v>
      </c>
      <c r="N33" t="str">
        <f t="shared" si="2"/>
        <v/>
      </c>
      <c r="S33" t="s">
        <v>32</v>
      </c>
      <c r="T33">
        <v>169</v>
      </c>
      <c r="U33">
        <f t="shared" si="3"/>
        <v>3.7272727272727195</v>
      </c>
      <c r="V33" t="str">
        <f t="shared" si="4"/>
        <v/>
      </c>
      <c r="AA33" t="s">
        <v>33</v>
      </c>
      <c r="AB33">
        <v>181</v>
      </c>
      <c r="AC33">
        <f t="shared" si="5"/>
        <v>6.6309523809523796</v>
      </c>
      <c r="AD33" t="str">
        <f t="shared" si="6"/>
        <v/>
      </c>
      <c r="AI33" t="s">
        <v>35</v>
      </c>
      <c r="AJ33">
        <v>194</v>
      </c>
      <c r="AK33">
        <f t="shared" si="14"/>
        <v>19.525000000000006</v>
      </c>
      <c r="AL33" t="str">
        <f t="shared" si="15"/>
        <v/>
      </c>
      <c r="AT33" s="4" t="s">
        <v>31</v>
      </c>
      <c r="AU33" s="4">
        <v>109</v>
      </c>
      <c r="AX33" t="s">
        <v>88</v>
      </c>
    </row>
    <row r="34" spans="3:50">
      <c r="C34" t="s">
        <v>32</v>
      </c>
      <c r="D34">
        <v>169</v>
      </c>
      <c r="E34">
        <f t="shared" ref="E34:E65" si="18">ABS(D34-$H$2)</f>
        <v>1.1195652173913118</v>
      </c>
      <c r="F34" t="str">
        <f t="shared" ref="F34:F65" si="19">IF(E34&gt;$H$5, "Outlier", "")</f>
        <v/>
      </c>
      <c r="K34" t="s">
        <v>32</v>
      </c>
      <c r="L34">
        <v>169</v>
      </c>
      <c r="M34">
        <f t="shared" si="13"/>
        <v>2.8426966292134921</v>
      </c>
      <c r="N34" t="str">
        <f t="shared" si="2"/>
        <v/>
      </c>
      <c r="S34" t="s">
        <v>33</v>
      </c>
      <c r="T34">
        <v>181</v>
      </c>
      <c r="U34">
        <f t="shared" si="3"/>
        <v>8.2727272727272805</v>
      </c>
      <c r="V34" t="str">
        <f t="shared" si="4"/>
        <v/>
      </c>
      <c r="AA34" t="s">
        <v>34</v>
      </c>
      <c r="AB34">
        <v>179</v>
      </c>
      <c r="AC34">
        <f t="shared" si="5"/>
        <v>4.6309523809523796</v>
      </c>
      <c r="AD34" t="str">
        <f t="shared" si="6"/>
        <v/>
      </c>
      <c r="AI34" t="s">
        <v>36</v>
      </c>
      <c r="AJ34">
        <v>220</v>
      </c>
      <c r="AK34">
        <f t="shared" si="14"/>
        <v>45.525000000000006</v>
      </c>
      <c r="AL34" t="str">
        <f t="shared" si="15"/>
        <v/>
      </c>
      <c r="AT34" t="s">
        <v>132</v>
      </c>
      <c r="AU34">
        <v>169</v>
      </c>
      <c r="AX34" t="s">
        <v>125</v>
      </c>
    </row>
    <row r="35" spans="3:50">
      <c r="C35" t="s">
        <v>33</v>
      </c>
      <c r="D35">
        <v>181</v>
      </c>
      <c r="E35">
        <f t="shared" si="18"/>
        <v>13.119565217391312</v>
      </c>
      <c r="F35" t="str">
        <f t="shared" si="19"/>
        <v/>
      </c>
      <c r="K35" t="s">
        <v>33</v>
      </c>
      <c r="L35">
        <v>181</v>
      </c>
      <c r="M35">
        <f t="shared" si="13"/>
        <v>9.1573033707865079</v>
      </c>
      <c r="N35" t="str">
        <f t="shared" si="2"/>
        <v/>
      </c>
      <c r="S35" t="s">
        <v>34</v>
      </c>
      <c r="T35">
        <v>179</v>
      </c>
      <c r="U35">
        <f t="shared" si="3"/>
        <v>6.2727272727272805</v>
      </c>
      <c r="V35" t="str">
        <f t="shared" si="4"/>
        <v/>
      </c>
      <c r="AA35" t="s">
        <v>35</v>
      </c>
      <c r="AB35">
        <v>194</v>
      </c>
      <c r="AC35">
        <f t="shared" si="5"/>
        <v>19.63095238095238</v>
      </c>
      <c r="AD35" t="str">
        <f t="shared" si="6"/>
        <v/>
      </c>
      <c r="AI35" t="s">
        <v>37</v>
      </c>
      <c r="AJ35">
        <v>154</v>
      </c>
      <c r="AK35">
        <f t="shared" si="14"/>
        <v>20.474999999999994</v>
      </c>
      <c r="AL35" t="str">
        <f t="shared" si="15"/>
        <v/>
      </c>
      <c r="AT35" t="s">
        <v>33</v>
      </c>
      <c r="AU35">
        <v>181</v>
      </c>
    </row>
    <row r="36" spans="3:50">
      <c r="C36" t="s">
        <v>34</v>
      </c>
      <c r="D36">
        <v>179</v>
      </c>
      <c r="E36">
        <f t="shared" si="18"/>
        <v>11.119565217391312</v>
      </c>
      <c r="F36" t="str">
        <f t="shared" si="19"/>
        <v/>
      </c>
      <c r="K36" t="s">
        <v>34</v>
      </c>
      <c r="L36">
        <v>179</v>
      </c>
      <c r="M36">
        <f t="shared" si="13"/>
        <v>7.1573033707865079</v>
      </c>
      <c r="N36" t="str">
        <f t="shared" si="2"/>
        <v/>
      </c>
      <c r="S36" t="s">
        <v>35</v>
      </c>
      <c r="T36">
        <v>194</v>
      </c>
      <c r="U36">
        <f t="shared" si="3"/>
        <v>21.27272727272728</v>
      </c>
      <c r="V36" t="str">
        <f t="shared" si="4"/>
        <v/>
      </c>
      <c r="AA36" t="s">
        <v>36</v>
      </c>
      <c r="AB36">
        <v>220</v>
      </c>
      <c r="AC36">
        <f t="shared" si="5"/>
        <v>45.63095238095238</v>
      </c>
      <c r="AD36" t="str">
        <f t="shared" si="6"/>
        <v/>
      </c>
      <c r="AI36" t="s">
        <v>38</v>
      </c>
      <c r="AJ36">
        <v>191</v>
      </c>
      <c r="AK36">
        <f t="shared" si="14"/>
        <v>16.525000000000006</v>
      </c>
      <c r="AL36" t="str">
        <f t="shared" si="15"/>
        <v/>
      </c>
      <c r="AT36" t="s">
        <v>34</v>
      </c>
      <c r="AU36">
        <v>179</v>
      </c>
    </row>
    <row r="37" spans="3:50">
      <c r="C37" t="s">
        <v>35</v>
      </c>
      <c r="D37">
        <v>194</v>
      </c>
      <c r="E37">
        <f t="shared" si="18"/>
        <v>26.119565217391312</v>
      </c>
      <c r="F37" t="str">
        <f t="shared" si="19"/>
        <v/>
      </c>
      <c r="K37" t="s">
        <v>35</v>
      </c>
      <c r="L37">
        <v>194</v>
      </c>
      <c r="M37">
        <f t="shared" si="13"/>
        <v>22.157303370786508</v>
      </c>
      <c r="N37" t="str">
        <f t="shared" si="2"/>
        <v/>
      </c>
      <c r="S37" t="s">
        <v>36</v>
      </c>
      <c r="T37">
        <v>220</v>
      </c>
      <c r="U37">
        <f t="shared" si="3"/>
        <v>47.27272727272728</v>
      </c>
      <c r="V37" t="str">
        <f t="shared" si="4"/>
        <v/>
      </c>
      <c r="AA37" t="s">
        <v>37</v>
      </c>
      <c r="AB37">
        <v>154</v>
      </c>
      <c r="AC37">
        <f t="shared" si="5"/>
        <v>20.36904761904762</v>
      </c>
      <c r="AD37" t="str">
        <f t="shared" si="6"/>
        <v/>
      </c>
      <c r="AI37" t="s">
        <v>39</v>
      </c>
      <c r="AJ37">
        <v>214</v>
      </c>
      <c r="AK37">
        <f t="shared" si="14"/>
        <v>39.525000000000006</v>
      </c>
      <c r="AL37" t="str">
        <f t="shared" si="15"/>
        <v/>
      </c>
      <c r="AT37" t="s">
        <v>35</v>
      </c>
      <c r="AU37">
        <v>194</v>
      </c>
    </row>
    <row r="38" spans="3:50">
      <c r="C38" t="s">
        <v>36</v>
      </c>
      <c r="D38">
        <v>220</v>
      </c>
      <c r="E38">
        <f t="shared" si="18"/>
        <v>52.119565217391312</v>
      </c>
      <c r="F38" t="str">
        <f t="shared" si="19"/>
        <v/>
      </c>
      <c r="K38" t="s">
        <v>36</v>
      </c>
      <c r="L38">
        <v>220</v>
      </c>
      <c r="M38">
        <f t="shared" si="13"/>
        <v>48.157303370786508</v>
      </c>
      <c r="N38" t="str">
        <f t="shared" si="2"/>
        <v/>
      </c>
      <c r="S38" t="s">
        <v>37</v>
      </c>
      <c r="T38">
        <v>154</v>
      </c>
      <c r="U38">
        <f t="shared" si="3"/>
        <v>18.72727272727272</v>
      </c>
      <c r="V38" t="str">
        <f t="shared" si="4"/>
        <v/>
      </c>
      <c r="AA38" t="s">
        <v>38</v>
      </c>
      <c r="AB38">
        <v>191</v>
      </c>
      <c r="AC38">
        <f t="shared" si="5"/>
        <v>16.63095238095238</v>
      </c>
      <c r="AD38" t="str">
        <f t="shared" si="6"/>
        <v/>
      </c>
      <c r="AI38" t="s">
        <v>41</v>
      </c>
      <c r="AJ38">
        <v>190</v>
      </c>
      <c r="AK38">
        <f t="shared" si="14"/>
        <v>15.525000000000006</v>
      </c>
      <c r="AL38" t="str">
        <f t="shared" si="15"/>
        <v/>
      </c>
      <c r="AT38" t="s">
        <v>36</v>
      </c>
      <c r="AU38">
        <v>220</v>
      </c>
    </row>
    <row r="39" spans="3:50">
      <c r="C39" t="s">
        <v>37</v>
      </c>
      <c r="D39">
        <v>154</v>
      </c>
      <c r="E39">
        <f t="shared" si="18"/>
        <v>13.880434782608688</v>
      </c>
      <c r="F39" t="str">
        <f t="shared" si="19"/>
        <v/>
      </c>
      <c r="K39" t="s">
        <v>37</v>
      </c>
      <c r="L39">
        <v>154</v>
      </c>
      <c r="M39">
        <f t="shared" si="13"/>
        <v>17.842696629213492</v>
      </c>
      <c r="N39" t="str">
        <f t="shared" si="2"/>
        <v/>
      </c>
      <c r="S39" t="s">
        <v>38</v>
      </c>
      <c r="T39">
        <v>191</v>
      </c>
      <c r="U39">
        <f t="shared" si="3"/>
        <v>18.27272727272728</v>
      </c>
      <c r="V39" t="str">
        <f t="shared" si="4"/>
        <v/>
      </c>
      <c r="AA39" t="s">
        <v>39</v>
      </c>
      <c r="AB39">
        <v>214</v>
      </c>
      <c r="AC39">
        <f t="shared" si="5"/>
        <v>39.63095238095238</v>
      </c>
      <c r="AD39" t="str">
        <f t="shared" si="6"/>
        <v/>
      </c>
      <c r="AI39" t="s">
        <v>42</v>
      </c>
      <c r="AJ39">
        <v>172</v>
      </c>
      <c r="AK39">
        <f t="shared" si="14"/>
        <v>2.4749999999999943</v>
      </c>
      <c r="AL39" t="str">
        <f t="shared" si="15"/>
        <v/>
      </c>
      <c r="AT39" t="s">
        <v>37</v>
      </c>
      <c r="AU39">
        <v>154</v>
      </c>
    </row>
    <row r="40" spans="3:50">
      <c r="C40" t="s">
        <v>38</v>
      </c>
      <c r="D40">
        <v>191</v>
      </c>
      <c r="E40">
        <f t="shared" si="18"/>
        <v>23.119565217391312</v>
      </c>
      <c r="F40" t="str">
        <f t="shared" si="19"/>
        <v/>
      </c>
      <c r="K40" t="s">
        <v>38</v>
      </c>
      <c r="L40">
        <v>191</v>
      </c>
      <c r="M40">
        <f t="shared" si="13"/>
        <v>19.157303370786508</v>
      </c>
      <c r="N40" t="str">
        <f t="shared" si="2"/>
        <v/>
      </c>
      <c r="S40" t="s">
        <v>39</v>
      </c>
      <c r="T40">
        <v>214</v>
      </c>
      <c r="U40">
        <f t="shared" si="3"/>
        <v>41.27272727272728</v>
      </c>
      <c r="V40" t="str">
        <f t="shared" si="4"/>
        <v/>
      </c>
      <c r="AA40" t="s">
        <v>41</v>
      </c>
      <c r="AB40">
        <v>190</v>
      </c>
      <c r="AC40">
        <f t="shared" si="5"/>
        <v>15.63095238095238</v>
      </c>
      <c r="AD40" t="str">
        <f t="shared" si="6"/>
        <v/>
      </c>
      <c r="AI40" t="s">
        <v>43</v>
      </c>
      <c r="AJ40">
        <v>195</v>
      </c>
      <c r="AK40">
        <f t="shared" si="14"/>
        <v>20.525000000000006</v>
      </c>
      <c r="AL40" t="str">
        <f t="shared" si="15"/>
        <v/>
      </c>
      <c r="AR40" t="s">
        <v>116</v>
      </c>
      <c r="AS40">
        <v>1059</v>
      </c>
      <c r="AT40" t="s">
        <v>38</v>
      </c>
      <c r="AU40">
        <v>191</v>
      </c>
    </row>
    <row r="41" spans="3:50">
      <c r="C41" t="s">
        <v>39</v>
      </c>
      <c r="D41">
        <v>214</v>
      </c>
      <c r="E41">
        <f t="shared" si="18"/>
        <v>46.119565217391312</v>
      </c>
      <c r="F41" t="str">
        <f t="shared" si="19"/>
        <v/>
      </c>
      <c r="K41" t="s">
        <v>39</v>
      </c>
      <c r="L41">
        <v>214</v>
      </c>
      <c r="M41">
        <f t="shared" si="13"/>
        <v>42.157303370786508</v>
      </c>
      <c r="N41" t="str">
        <f t="shared" si="2"/>
        <v/>
      </c>
      <c r="S41" t="s">
        <v>40</v>
      </c>
      <c r="T41">
        <v>108</v>
      </c>
      <c r="U41">
        <f t="shared" si="3"/>
        <v>64.72727272727272</v>
      </c>
      <c r="V41" t="str">
        <f t="shared" si="4"/>
        <v>Outlier</v>
      </c>
      <c r="AA41" t="s">
        <v>42</v>
      </c>
      <c r="AB41">
        <v>172</v>
      </c>
      <c r="AC41">
        <f t="shared" si="5"/>
        <v>2.3690476190476204</v>
      </c>
      <c r="AD41" t="str">
        <f t="shared" si="6"/>
        <v/>
      </c>
      <c r="AI41" t="s">
        <v>44</v>
      </c>
      <c r="AJ41">
        <v>138</v>
      </c>
      <c r="AK41">
        <f t="shared" ref="AK41:AK72" si="20">ABS(AJ41-$AN$2)</f>
        <v>36.474999999999994</v>
      </c>
      <c r="AL41" t="str">
        <f t="shared" ref="AL41:AL72" si="21">IF(AK41&gt;$AN$5, "Outlier", "")</f>
        <v/>
      </c>
      <c r="AT41" t="s">
        <v>39</v>
      </c>
      <c r="AU41">
        <v>214</v>
      </c>
    </row>
    <row r="42" spans="3:50">
      <c r="C42" t="s">
        <v>40</v>
      </c>
      <c r="D42">
        <v>108</v>
      </c>
      <c r="E42">
        <f t="shared" si="18"/>
        <v>59.880434782608688</v>
      </c>
      <c r="F42" t="str">
        <f t="shared" si="19"/>
        <v/>
      </c>
      <c r="K42" t="s">
        <v>40</v>
      </c>
      <c r="L42">
        <v>108</v>
      </c>
      <c r="M42">
        <f t="shared" si="13"/>
        <v>63.842696629213492</v>
      </c>
      <c r="N42" t="str">
        <f t="shared" si="2"/>
        <v/>
      </c>
      <c r="S42" t="s">
        <v>41</v>
      </c>
      <c r="T42">
        <v>190</v>
      </c>
      <c r="U42">
        <f t="shared" si="3"/>
        <v>17.27272727272728</v>
      </c>
      <c r="V42" t="str">
        <f t="shared" si="4"/>
        <v/>
      </c>
      <c r="AA42" t="s">
        <v>43</v>
      </c>
      <c r="AB42">
        <v>195</v>
      </c>
      <c r="AC42">
        <f t="shared" si="5"/>
        <v>20.63095238095238</v>
      </c>
      <c r="AD42" t="str">
        <f t="shared" si="6"/>
        <v/>
      </c>
      <c r="AI42" t="s">
        <v>45</v>
      </c>
      <c r="AJ42">
        <v>144</v>
      </c>
      <c r="AK42">
        <f t="shared" si="20"/>
        <v>30.474999999999994</v>
      </c>
      <c r="AL42" t="str">
        <f t="shared" si="21"/>
        <v/>
      </c>
      <c r="AT42" s="4" t="s">
        <v>40</v>
      </c>
      <c r="AU42" s="4">
        <v>108</v>
      </c>
    </row>
    <row r="43" spans="3:50">
      <c r="C43" t="s">
        <v>41</v>
      </c>
      <c r="D43">
        <v>190</v>
      </c>
      <c r="E43">
        <f t="shared" si="18"/>
        <v>22.119565217391312</v>
      </c>
      <c r="F43" t="str">
        <f t="shared" si="19"/>
        <v/>
      </c>
      <c r="K43" t="s">
        <v>41</v>
      </c>
      <c r="L43">
        <v>190</v>
      </c>
      <c r="M43">
        <f t="shared" si="13"/>
        <v>18.157303370786508</v>
      </c>
      <c r="N43" t="str">
        <f t="shared" si="2"/>
        <v/>
      </c>
      <c r="S43" t="s">
        <v>42</v>
      </c>
      <c r="T43">
        <v>172</v>
      </c>
      <c r="U43">
        <f t="shared" si="3"/>
        <v>0.72727272727271952</v>
      </c>
      <c r="V43" t="str">
        <f t="shared" si="4"/>
        <v/>
      </c>
      <c r="AA43" t="s">
        <v>44</v>
      </c>
      <c r="AB43">
        <v>138</v>
      </c>
      <c r="AC43">
        <f t="shared" si="5"/>
        <v>36.36904761904762</v>
      </c>
      <c r="AD43" t="str">
        <f t="shared" si="6"/>
        <v/>
      </c>
      <c r="AI43" t="s">
        <v>47</v>
      </c>
      <c r="AJ43">
        <v>166</v>
      </c>
      <c r="AK43">
        <f t="shared" si="20"/>
        <v>8.4749999999999943</v>
      </c>
      <c r="AL43" t="str">
        <f t="shared" si="21"/>
        <v/>
      </c>
      <c r="AT43" t="s">
        <v>41</v>
      </c>
      <c r="AU43">
        <v>190</v>
      </c>
    </row>
    <row r="44" spans="3:50">
      <c r="C44" t="s">
        <v>42</v>
      </c>
      <c r="D44">
        <v>172</v>
      </c>
      <c r="E44">
        <f t="shared" si="18"/>
        <v>4.1195652173913118</v>
      </c>
      <c r="F44" t="str">
        <f t="shared" si="19"/>
        <v/>
      </c>
      <c r="K44" t="s">
        <v>42</v>
      </c>
      <c r="L44">
        <v>172</v>
      </c>
      <c r="M44">
        <f t="shared" si="13"/>
        <v>0.15730337078650791</v>
      </c>
      <c r="N44" t="str">
        <f t="shared" si="2"/>
        <v/>
      </c>
      <c r="S44" t="s">
        <v>43</v>
      </c>
      <c r="T44">
        <v>195</v>
      </c>
      <c r="U44">
        <f t="shared" si="3"/>
        <v>22.27272727272728</v>
      </c>
      <c r="V44" t="str">
        <f t="shared" si="4"/>
        <v/>
      </c>
      <c r="AA44" t="s">
        <v>45</v>
      </c>
      <c r="AB44">
        <v>144</v>
      </c>
      <c r="AC44">
        <f t="shared" si="5"/>
        <v>30.36904761904762</v>
      </c>
      <c r="AD44" t="str">
        <f t="shared" si="6"/>
        <v/>
      </c>
      <c r="AI44" t="s">
        <v>48</v>
      </c>
      <c r="AJ44">
        <v>156</v>
      </c>
      <c r="AK44">
        <f t="shared" si="20"/>
        <v>18.474999999999994</v>
      </c>
      <c r="AL44" t="str">
        <f t="shared" si="21"/>
        <v/>
      </c>
      <c r="AT44" t="s">
        <v>42</v>
      </c>
      <c r="AU44">
        <v>172</v>
      </c>
    </row>
    <row r="45" spans="3:50">
      <c r="C45" t="s">
        <v>43</v>
      </c>
      <c r="D45">
        <v>195</v>
      </c>
      <c r="E45">
        <f t="shared" si="18"/>
        <v>27.119565217391312</v>
      </c>
      <c r="F45" t="str">
        <f t="shared" si="19"/>
        <v/>
      </c>
      <c r="K45" t="s">
        <v>43</v>
      </c>
      <c r="L45">
        <v>195</v>
      </c>
      <c r="M45">
        <f t="shared" si="13"/>
        <v>23.157303370786508</v>
      </c>
      <c r="N45" t="str">
        <f t="shared" si="2"/>
        <v/>
      </c>
      <c r="S45" t="s">
        <v>44</v>
      </c>
      <c r="T45">
        <v>138</v>
      </c>
      <c r="U45">
        <f t="shared" si="3"/>
        <v>34.72727272727272</v>
      </c>
      <c r="V45" t="str">
        <f t="shared" si="4"/>
        <v/>
      </c>
      <c r="AA45" t="s">
        <v>47</v>
      </c>
      <c r="AB45">
        <v>166</v>
      </c>
      <c r="AC45">
        <f t="shared" si="5"/>
        <v>8.3690476190476204</v>
      </c>
      <c r="AD45" t="str">
        <f t="shared" si="6"/>
        <v/>
      </c>
      <c r="AI45" t="s">
        <v>49</v>
      </c>
      <c r="AJ45">
        <v>169</v>
      </c>
      <c r="AK45">
        <f t="shared" si="20"/>
        <v>5.4749999999999943</v>
      </c>
      <c r="AL45" t="str">
        <f t="shared" si="21"/>
        <v/>
      </c>
      <c r="AT45" t="s">
        <v>43</v>
      </c>
      <c r="AU45">
        <v>195</v>
      </c>
    </row>
    <row r="46" spans="3:50">
      <c r="C46" t="s">
        <v>44</v>
      </c>
      <c r="D46">
        <v>138</v>
      </c>
      <c r="E46">
        <f t="shared" si="18"/>
        <v>29.880434782608688</v>
      </c>
      <c r="F46" t="str">
        <f t="shared" si="19"/>
        <v/>
      </c>
      <c r="K46" t="s">
        <v>44</v>
      </c>
      <c r="L46">
        <v>138</v>
      </c>
      <c r="M46">
        <f t="shared" si="13"/>
        <v>33.842696629213492</v>
      </c>
      <c r="N46" t="str">
        <f t="shared" si="2"/>
        <v/>
      </c>
      <c r="S46" t="s">
        <v>45</v>
      </c>
      <c r="T46">
        <v>144</v>
      </c>
      <c r="U46">
        <f t="shared" si="3"/>
        <v>28.72727272727272</v>
      </c>
      <c r="V46" t="str">
        <f t="shared" si="4"/>
        <v/>
      </c>
      <c r="AA46" t="s">
        <v>48</v>
      </c>
      <c r="AB46">
        <v>156</v>
      </c>
      <c r="AC46">
        <f t="shared" si="5"/>
        <v>18.36904761904762</v>
      </c>
      <c r="AD46" t="str">
        <f t="shared" si="6"/>
        <v/>
      </c>
      <c r="AI46" t="s">
        <v>50</v>
      </c>
      <c r="AJ46">
        <v>213</v>
      </c>
      <c r="AK46">
        <f t="shared" si="20"/>
        <v>38.525000000000006</v>
      </c>
      <c r="AL46" t="str">
        <f t="shared" si="21"/>
        <v/>
      </c>
      <c r="AR46" t="s">
        <v>117</v>
      </c>
      <c r="AS46">
        <v>282</v>
      </c>
      <c r="AT46" t="s">
        <v>44</v>
      </c>
      <c r="AU46">
        <v>138</v>
      </c>
    </row>
    <row r="47" spans="3:50">
      <c r="C47" t="s">
        <v>45</v>
      </c>
      <c r="D47">
        <v>144</v>
      </c>
      <c r="E47">
        <f t="shared" si="18"/>
        <v>23.880434782608688</v>
      </c>
      <c r="F47" t="str">
        <f t="shared" si="19"/>
        <v/>
      </c>
      <c r="K47" t="s">
        <v>45</v>
      </c>
      <c r="L47">
        <v>144</v>
      </c>
      <c r="M47">
        <f t="shared" si="13"/>
        <v>27.842696629213492</v>
      </c>
      <c r="N47" t="str">
        <f t="shared" si="2"/>
        <v/>
      </c>
      <c r="S47" t="s">
        <v>47</v>
      </c>
      <c r="T47">
        <v>166</v>
      </c>
      <c r="U47">
        <f t="shared" si="3"/>
        <v>6.7272727272727195</v>
      </c>
      <c r="V47" t="str">
        <f t="shared" si="4"/>
        <v/>
      </c>
      <c r="AA47" t="s">
        <v>49</v>
      </c>
      <c r="AB47">
        <v>169</v>
      </c>
      <c r="AC47">
        <f t="shared" si="5"/>
        <v>5.3690476190476204</v>
      </c>
      <c r="AD47" t="str">
        <f t="shared" si="6"/>
        <v/>
      </c>
      <c r="AI47" t="s">
        <v>51</v>
      </c>
      <c r="AJ47">
        <v>180</v>
      </c>
      <c r="AK47">
        <f t="shared" si="20"/>
        <v>5.5250000000000057</v>
      </c>
      <c r="AL47" t="str">
        <f t="shared" si="21"/>
        <v/>
      </c>
      <c r="AT47" t="s">
        <v>45</v>
      </c>
      <c r="AU47">
        <v>144</v>
      </c>
    </row>
    <row r="48" spans="3:50">
      <c r="C48" t="s">
        <v>46</v>
      </c>
      <c r="D48">
        <v>46</v>
      </c>
      <c r="E48">
        <f t="shared" si="18"/>
        <v>121.88043478260869</v>
      </c>
      <c r="F48" t="str">
        <f t="shared" si="19"/>
        <v>Outlier</v>
      </c>
      <c r="K48" t="s">
        <v>47</v>
      </c>
      <c r="L48">
        <v>166</v>
      </c>
      <c r="M48">
        <f t="shared" si="13"/>
        <v>5.8426966292134921</v>
      </c>
      <c r="N48" t="str">
        <f t="shared" si="2"/>
        <v/>
      </c>
      <c r="S48" t="s">
        <v>48</v>
      </c>
      <c r="T48">
        <v>156</v>
      </c>
      <c r="U48">
        <f t="shared" si="3"/>
        <v>16.72727272727272</v>
      </c>
      <c r="V48" t="str">
        <f t="shared" si="4"/>
        <v/>
      </c>
      <c r="AA48" t="s">
        <v>50</v>
      </c>
      <c r="AB48">
        <v>213</v>
      </c>
      <c r="AC48">
        <f t="shared" si="5"/>
        <v>38.63095238095238</v>
      </c>
      <c r="AD48" t="str">
        <f t="shared" si="6"/>
        <v/>
      </c>
      <c r="AI48" t="s">
        <v>53</v>
      </c>
      <c r="AJ48">
        <v>192</v>
      </c>
      <c r="AK48">
        <f t="shared" si="20"/>
        <v>17.525000000000006</v>
      </c>
      <c r="AL48" t="str">
        <f t="shared" si="21"/>
        <v/>
      </c>
      <c r="AR48" s="4" t="s">
        <v>46</v>
      </c>
      <c r="AS48" s="4">
        <v>46</v>
      </c>
      <c r="AT48" s="4" t="s">
        <v>46</v>
      </c>
      <c r="AU48" s="4">
        <v>46</v>
      </c>
    </row>
    <row r="49" spans="3:47">
      <c r="C49" t="s">
        <v>47</v>
      </c>
      <c r="D49">
        <v>166</v>
      </c>
      <c r="E49">
        <f t="shared" si="18"/>
        <v>1.8804347826086882</v>
      </c>
      <c r="F49" t="str">
        <f t="shared" si="19"/>
        <v/>
      </c>
      <c r="K49" t="s">
        <v>48</v>
      </c>
      <c r="L49">
        <v>156</v>
      </c>
      <c r="M49">
        <f t="shared" si="13"/>
        <v>15.842696629213492</v>
      </c>
      <c r="N49" t="str">
        <f t="shared" si="2"/>
        <v/>
      </c>
      <c r="S49" t="s">
        <v>49</v>
      </c>
      <c r="T49">
        <v>169</v>
      </c>
      <c r="U49">
        <f t="shared" si="3"/>
        <v>3.7272727272727195</v>
      </c>
      <c r="V49" t="str">
        <f t="shared" si="4"/>
        <v/>
      </c>
      <c r="AA49" t="s">
        <v>51</v>
      </c>
      <c r="AB49">
        <v>180</v>
      </c>
      <c r="AC49">
        <f t="shared" si="5"/>
        <v>5.6309523809523796</v>
      </c>
      <c r="AD49" t="str">
        <f t="shared" si="6"/>
        <v/>
      </c>
      <c r="AI49" t="s">
        <v>54</v>
      </c>
      <c r="AJ49">
        <v>140</v>
      </c>
      <c r="AK49">
        <f t="shared" si="20"/>
        <v>34.474999999999994</v>
      </c>
      <c r="AL49" t="str">
        <f t="shared" si="21"/>
        <v/>
      </c>
      <c r="AR49" t="s">
        <v>118</v>
      </c>
      <c r="AS49">
        <v>884</v>
      </c>
      <c r="AT49" t="s">
        <v>47</v>
      </c>
      <c r="AU49">
        <v>166</v>
      </c>
    </row>
    <row r="50" spans="3:47">
      <c r="C50" t="s">
        <v>48</v>
      </c>
      <c r="D50">
        <v>156</v>
      </c>
      <c r="E50">
        <f t="shared" si="18"/>
        <v>11.880434782608688</v>
      </c>
      <c r="F50" t="str">
        <f t="shared" si="19"/>
        <v/>
      </c>
      <c r="K50" t="s">
        <v>49</v>
      </c>
      <c r="L50">
        <v>169</v>
      </c>
      <c r="M50">
        <f t="shared" si="13"/>
        <v>2.8426966292134921</v>
      </c>
      <c r="N50" t="str">
        <f t="shared" si="2"/>
        <v/>
      </c>
      <c r="S50" t="s">
        <v>50</v>
      </c>
      <c r="T50">
        <v>213</v>
      </c>
      <c r="U50">
        <f t="shared" si="3"/>
        <v>40.27272727272728</v>
      </c>
      <c r="V50" t="str">
        <f t="shared" si="4"/>
        <v/>
      </c>
      <c r="AA50" t="s">
        <v>53</v>
      </c>
      <c r="AB50">
        <v>192</v>
      </c>
      <c r="AC50">
        <f t="shared" si="5"/>
        <v>17.63095238095238</v>
      </c>
      <c r="AD50" t="str">
        <f t="shared" si="6"/>
        <v/>
      </c>
      <c r="AI50" t="s">
        <v>55</v>
      </c>
      <c r="AJ50">
        <v>131</v>
      </c>
      <c r="AK50">
        <f t="shared" si="20"/>
        <v>43.474999999999994</v>
      </c>
      <c r="AL50" t="str">
        <f t="shared" si="21"/>
        <v/>
      </c>
      <c r="AT50" t="s">
        <v>48</v>
      </c>
      <c r="AU50">
        <v>156</v>
      </c>
    </row>
    <row r="51" spans="3:47">
      <c r="C51" t="s">
        <v>49</v>
      </c>
      <c r="D51">
        <v>169</v>
      </c>
      <c r="E51">
        <f t="shared" si="18"/>
        <v>1.1195652173913118</v>
      </c>
      <c r="F51" t="str">
        <f t="shared" si="19"/>
        <v/>
      </c>
      <c r="K51" t="s">
        <v>50</v>
      </c>
      <c r="L51">
        <v>213</v>
      </c>
      <c r="M51">
        <f t="shared" si="13"/>
        <v>41.157303370786508</v>
      </c>
      <c r="N51" t="str">
        <f t="shared" si="2"/>
        <v/>
      </c>
      <c r="S51" t="s">
        <v>51</v>
      </c>
      <c r="T51">
        <v>180</v>
      </c>
      <c r="U51">
        <f t="shared" si="3"/>
        <v>7.2727272727272805</v>
      </c>
      <c r="V51" t="str">
        <f t="shared" si="4"/>
        <v/>
      </c>
      <c r="AA51" t="s">
        <v>54</v>
      </c>
      <c r="AB51">
        <v>140</v>
      </c>
      <c r="AC51">
        <f t="shared" si="5"/>
        <v>34.36904761904762</v>
      </c>
      <c r="AD51" t="str">
        <f t="shared" si="6"/>
        <v/>
      </c>
      <c r="AI51" t="s">
        <v>57</v>
      </c>
      <c r="AJ51">
        <v>152</v>
      </c>
      <c r="AK51">
        <f t="shared" si="20"/>
        <v>22.474999999999994</v>
      </c>
      <c r="AL51" t="str">
        <f t="shared" si="21"/>
        <v/>
      </c>
      <c r="AT51" t="s">
        <v>49</v>
      </c>
      <c r="AU51">
        <v>169</v>
      </c>
    </row>
    <row r="52" spans="3:47">
      <c r="C52" t="s">
        <v>50</v>
      </c>
      <c r="D52">
        <v>213</v>
      </c>
      <c r="E52">
        <f t="shared" si="18"/>
        <v>45.119565217391312</v>
      </c>
      <c r="F52" t="str">
        <f t="shared" si="19"/>
        <v/>
      </c>
      <c r="K52" t="s">
        <v>51</v>
      </c>
      <c r="L52">
        <v>180</v>
      </c>
      <c r="M52">
        <f t="shared" si="13"/>
        <v>8.1573033707865079</v>
      </c>
      <c r="N52" t="str">
        <f t="shared" si="2"/>
        <v/>
      </c>
      <c r="S52" t="s">
        <v>53</v>
      </c>
      <c r="T52">
        <v>192</v>
      </c>
      <c r="U52">
        <f t="shared" si="3"/>
        <v>19.27272727272728</v>
      </c>
      <c r="V52" t="str">
        <f t="shared" si="4"/>
        <v/>
      </c>
      <c r="AA52" t="s">
        <v>55</v>
      </c>
      <c r="AB52">
        <v>131</v>
      </c>
      <c r="AC52">
        <f t="shared" si="5"/>
        <v>43.36904761904762</v>
      </c>
      <c r="AD52" t="str">
        <f t="shared" si="6"/>
        <v/>
      </c>
      <c r="AI52" t="s">
        <v>58</v>
      </c>
      <c r="AJ52">
        <v>177</v>
      </c>
      <c r="AK52">
        <f t="shared" si="20"/>
        <v>2.5250000000000057</v>
      </c>
      <c r="AL52" t="str">
        <f t="shared" si="21"/>
        <v/>
      </c>
      <c r="AT52" t="s">
        <v>50</v>
      </c>
      <c r="AU52">
        <v>213</v>
      </c>
    </row>
    <row r="53" spans="3:47">
      <c r="C53" t="s">
        <v>51</v>
      </c>
      <c r="D53">
        <v>180</v>
      </c>
      <c r="E53">
        <f t="shared" si="18"/>
        <v>12.119565217391312</v>
      </c>
      <c r="F53" t="str">
        <f t="shared" si="19"/>
        <v/>
      </c>
      <c r="K53" t="s">
        <v>53</v>
      </c>
      <c r="L53">
        <v>192</v>
      </c>
      <c r="M53">
        <f t="shared" si="13"/>
        <v>20.157303370786508</v>
      </c>
      <c r="N53" t="str">
        <f t="shared" si="2"/>
        <v/>
      </c>
      <c r="S53" t="s">
        <v>54</v>
      </c>
      <c r="T53">
        <v>140</v>
      </c>
      <c r="U53">
        <f t="shared" si="3"/>
        <v>32.72727272727272</v>
      </c>
      <c r="V53" t="str">
        <f t="shared" si="4"/>
        <v/>
      </c>
      <c r="AA53" t="s">
        <v>57</v>
      </c>
      <c r="AB53">
        <v>152</v>
      </c>
      <c r="AC53">
        <f t="shared" si="5"/>
        <v>22.36904761904762</v>
      </c>
      <c r="AD53" t="str">
        <f t="shared" si="6"/>
        <v/>
      </c>
      <c r="AI53" t="s">
        <v>59</v>
      </c>
      <c r="AJ53">
        <v>211</v>
      </c>
      <c r="AK53">
        <f t="shared" si="20"/>
        <v>36.525000000000006</v>
      </c>
      <c r="AL53" t="str">
        <f t="shared" si="21"/>
        <v/>
      </c>
      <c r="AT53" t="s">
        <v>51</v>
      </c>
      <c r="AU53">
        <v>180</v>
      </c>
    </row>
    <row r="54" spans="3:47">
      <c r="C54" t="s">
        <v>52</v>
      </c>
      <c r="D54">
        <v>61</v>
      </c>
      <c r="E54">
        <f t="shared" si="18"/>
        <v>106.88043478260869</v>
      </c>
      <c r="F54" t="str">
        <f t="shared" si="19"/>
        <v>Outlier</v>
      </c>
      <c r="K54" t="s">
        <v>54</v>
      </c>
      <c r="L54">
        <v>140</v>
      </c>
      <c r="M54">
        <f t="shared" si="13"/>
        <v>31.842696629213492</v>
      </c>
      <c r="N54" t="str">
        <f t="shared" si="2"/>
        <v/>
      </c>
      <c r="S54" t="s">
        <v>55</v>
      </c>
      <c r="T54">
        <v>131</v>
      </c>
      <c r="U54">
        <f t="shared" si="3"/>
        <v>41.72727272727272</v>
      </c>
      <c r="V54" t="str">
        <f t="shared" si="4"/>
        <v/>
      </c>
      <c r="AA54" t="s">
        <v>58</v>
      </c>
      <c r="AB54">
        <v>177</v>
      </c>
      <c r="AC54">
        <f t="shared" si="5"/>
        <v>2.6309523809523796</v>
      </c>
      <c r="AD54" t="str">
        <f t="shared" si="6"/>
        <v/>
      </c>
      <c r="AI54" t="s">
        <v>60</v>
      </c>
      <c r="AJ54">
        <v>147</v>
      </c>
      <c r="AK54">
        <f t="shared" si="20"/>
        <v>27.474999999999994</v>
      </c>
      <c r="AL54" t="str">
        <f t="shared" si="21"/>
        <v/>
      </c>
      <c r="AR54" s="4" t="s">
        <v>52</v>
      </c>
      <c r="AS54" s="4">
        <v>61</v>
      </c>
      <c r="AT54" s="4" t="s">
        <v>52</v>
      </c>
      <c r="AU54" s="4">
        <v>61</v>
      </c>
    </row>
    <row r="55" spans="3:47">
      <c r="C55" t="s">
        <v>53</v>
      </c>
      <c r="D55">
        <v>192</v>
      </c>
      <c r="E55">
        <f t="shared" si="18"/>
        <v>24.119565217391312</v>
      </c>
      <c r="F55" t="str">
        <f t="shared" si="19"/>
        <v/>
      </c>
      <c r="K55" t="s">
        <v>55</v>
      </c>
      <c r="L55">
        <v>131</v>
      </c>
      <c r="M55">
        <f t="shared" si="13"/>
        <v>40.842696629213492</v>
      </c>
      <c r="N55" t="str">
        <f t="shared" si="2"/>
        <v/>
      </c>
      <c r="S55" t="s">
        <v>56</v>
      </c>
      <c r="T55">
        <v>100</v>
      </c>
      <c r="U55">
        <f t="shared" si="3"/>
        <v>72.72727272727272</v>
      </c>
      <c r="V55" t="str">
        <f t="shared" si="4"/>
        <v>Outlier</v>
      </c>
      <c r="AA55" t="s">
        <v>59</v>
      </c>
      <c r="AB55">
        <v>211</v>
      </c>
      <c r="AC55">
        <f t="shared" si="5"/>
        <v>36.63095238095238</v>
      </c>
      <c r="AD55" t="str">
        <f t="shared" si="6"/>
        <v/>
      </c>
      <c r="AI55" t="s">
        <v>61</v>
      </c>
      <c r="AJ55">
        <v>160</v>
      </c>
      <c r="AK55">
        <f t="shared" si="20"/>
        <v>14.474999999999994</v>
      </c>
      <c r="AL55" t="str">
        <f t="shared" si="21"/>
        <v/>
      </c>
      <c r="AR55" t="s">
        <v>53</v>
      </c>
      <c r="AS55">
        <v>192</v>
      </c>
      <c r="AT55" t="s">
        <v>53</v>
      </c>
      <c r="AU55">
        <v>192</v>
      </c>
    </row>
    <row r="56" spans="3:47">
      <c r="C56" t="s">
        <v>54</v>
      </c>
      <c r="D56">
        <v>140</v>
      </c>
      <c r="E56">
        <f t="shared" si="18"/>
        <v>27.880434782608688</v>
      </c>
      <c r="F56" t="str">
        <f t="shared" si="19"/>
        <v/>
      </c>
      <c r="K56" t="s">
        <v>56</v>
      </c>
      <c r="L56">
        <v>100</v>
      </c>
      <c r="M56">
        <f t="shared" si="13"/>
        <v>71.842696629213492</v>
      </c>
      <c r="N56" t="str">
        <f t="shared" si="2"/>
        <v>Outlier</v>
      </c>
      <c r="S56" t="s">
        <v>57</v>
      </c>
      <c r="T56">
        <v>152</v>
      </c>
      <c r="U56">
        <f t="shared" si="3"/>
        <v>20.72727272727272</v>
      </c>
      <c r="V56" t="str">
        <f t="shared" si="4"/>
        <v/>
      </c>
      <c r="AA56" t="s">
        <v>60</v>
      </c>
      <c r="AB56">
        <v>147</v>
      </c>
      <c r="AC56">
        <f t="shared" si="5"/>
        <v>27.36904761904762</v>
      </c>
      <c r="AD56" t="str">
        <f t="shared" si="6"/>
        <v/>
      </c>
      <c r="AI56" t="s">
        <v>62</v>
      </c>
      <c r="AJ56">
        <v>146</v>
      </c>
      <c r="AK56">
        <f t="shared" si="20"/>
        <v>28.474999999999994</v>
      </c>
      <c r="AL56" t="str">
        <f t="shared" si="21"/>
        <v/>
      </c>
      <c r="AR56" t="s">
        <v>119</v>
      </c>
      <c r="AS56">
        <v>459</v>
      </c>
      <c r="AT56" t="s">
        <v>54</v>
      </c>
      <c r="AU56">
        <v>140</v>
      </c>
    </row>
    <row r="57" spans="3:47">
      <c r="C57" t="s">
        <v>55</v>
      </c>
      <c r="D57">
        <v>131</v>
      </c>
      <c r="E57">
        <f t="shared" si="18"/>
        <v>36.880434782608688</v>
      </c>
      <c r="F57" t="str">
        <f t="shared" si="19"/>
        <v/>
      </c>
      <c r="K57" t="s">
        <v>57</v>
      </c>
      <c r="L57">
        <v>152</v>
      </c>
      <c r="M57">
        <f t="shared" si="13"/>
        <v>19.842696629213492</v>
      </c>
      <c r="N57" t="str">
        <f t="shared" si="2"/>
        <v/>
      </c>
      <c r="S57" t="s">
        <v>58</v>
      </c>
      <c r="T57">
        <v>177</v>
      </c>
      <c r="U57">
        <f t="shared" si="3"/>
        <v>4.2727272727272805</v>
      </c>
      <c r="V57" t="str">
        <f t="shared" si="4"/>
        <v/>
      </c>
      <c r="AA57" t="s">
        <v>61</v>
      </c>
      <c r="AB57">
        <v>160</v>
      </c>
      <c r="AC57">
        <f t="shared" si="5"/>
        <v>14.36904761904762</v>
      </c>
      <c r="AD57" t="str">
        <f t="shared" si="6"/>
        <v/>
      </c>
      <c r="AI57" t="s">
        <v>63</v>
      </c>
      <c r="AJ57">
        <v>204</v>
      </c>
      <c r="AK57">
        <f t="shared" si="20"/>
        <v>29.525000000000006</v>
      </c>
      <c r="AL57" t="str">
        <f t="shared" si="21"/>
        <v/>
      </c>
      <c r="AT57" t="s">
        <v>55</v>
      </c>
      <c r="AU57">
        <v>131</v>
      </c>
    </row>
    <row r="58" spans="3:47">
      <c r="C58" t="s">
        <v>56</v>
      </c>
      <c r="D58">
        <v>100</v>
      </c>
      <c r="E58">
        <f t="shared" si="18"/>
        <v>67.880434782608688</v>
      </c>
      <c r="F58" t="str">
        <f t="shared" si="19"/>
        <v/>
      </c>
      <c r="K58" t="s">
        <v>58</v>
      </c>
      <c r="L58">
        <v>177</v>
      </c>
      <c r="M58">
        <f t="shared" si="13"/>
        <v>5.1573033707865079</v>
      </c>
      <c r="N58" t="str">
        <f t="shared" si="2"/>
        <v/>
      </c>
      <c r="S58" t="s">
        <v>59</v>
      </c>
      <c r="T58">
        <v>211</v>
      </c>
      <c r="U58">
        <f t="shared" si="3"/>
        <v>38.27272727272728</v>
      </c>
      <c r="V58" t="str">
        <f t="shared" si="4"/>
        <v/>
      </c>
      <c r="AA58" t="s">
        <v>62</v>
      </c>
      <c r="AB58">
        <v>146</v>
      </c>
      <c r="AC58">
        <f t="shared" si="5"/>
        <v>28.36904761904762</v>
      </c>
      <c r="AD58" t="str">
        <f t="shared" si="6"/>
        <v/>
      </c>
      <c r="AI58" t="s">
        <v>64</v>
      </c>
      <c r="AJ58">
        <v>177</v>
      </c>
      <c r="AK58">
        <f t="shared" si="20"/>
        <v>2.5250000000000057</v>
      </c>
      <c r="AL58" t="str">
        <f t="shared" si="21"/>
        <v/>
      </c>
      <c r="AT58" s="4" t="s">
        <v>56</v>
      </c>
      <c r="AU58" s="4">
        <v>100</v>
      </c>
    </row>
    <row r="59" spans="3:47">
      <c r="C59" t="s">
        <v>57</v>
      </c>
      <c r="D59">
        <v>152</v>
      </c>
      <c r="E59">
        <f t="shared" si="18"/>
        <v>15.880434782608688</v>
      </c>
      <c r="F59" t="str">
        <f t="shared" si="19"/>
        <v/>
      </c>
      <c r="K59" t="s">
        <v>59</v>
      </c>
      <c r="L59">
        <v>211</v>
      </c>
      <c r="M59">
        <f t="shared" si="13"/>
        <v>39.157303370786508</v>
      </c>
      <c r="N59" t="str">
        <f t="shared" si="2"/>
        <v/>
      </c>
      <c r="S59" t="s">
        <v>60</v>
      </c>
      <c r="T59">
        <v>147</v>
      </c>
      <c r="U59">
        <f t="shared" si="3"/>
        <v>25.72727272727272</v>
      </c>
      <c r="V59" t="str">
        <f t="shared" si="4"/>
        <v/>
      </c>
      <c r="AA59" t="s">
        <v>63</v>
      </c>
      <c r="AB59">
        <v>204</v>
      </c>
      <c r="AC59">
        <f t="shared" si="5"/>
        <v>29.63095238095238</v>
      </c>
      <c r="AD59" t="str">
        <f t="shared" si="6"/>
        <v/>
      </c>
      <c r="AI59" t="s">
        <v>65</v>
      </c>
      <c r="AJ59">
        <v>198</v>
      </c>
      <c r="AK59">
        <f t="shared" si="20"/>
        <v>23.525000000000006</v>
      </c>
      <c r="AL59" t="str">
        <f t="shared" si="21"/>
        <v/>
      </c>
      <c r="AR59" t="s">
        <v>120</v>
      </c>
      <c r="AS59">
        <v>241</v>
      </c>
      <c r="AT59" t="s">
        <v>57</v>
      </c>
      <c r="AU59">
        <v>152</v>
      </c>
    </row>
    <row r="60" spans="3:47">
      <c r="C60" t="s">
        <v>58</v>
      </c>
      <c r="D60">
        <v>177</v>
      </c>
      <c r="E60">
        <f t="shared" si="18"/>
        <v>9.1195652173913118</v>
      </c>
      <c r="F60" t="str">
        <f t="shared" si="19"/>
        <v/>
      </c>
      <c r="K60" t="s">
        <v>60</v>
      </c>
      <c r="L60">
        <v>147</v>
      </c>
      <c r="M60">
        <f t="shared" si="13"/>
        <v>24.842696629213492</v>
      </c>
      <c r="N60" t="str">
        <f t="shared" si="2"/>
        <v/>
      </c>
      <c r="S60" t="s">
        <v>61</v>
      </c>
      <c r="T60">
        <v>160</v>
      </c>
      <c r="U60">
        <f t="shared" si="3"/>
        <v>12.72727272727272</v>
      </c>
      <c r="V60" t="str">
        <f t="shared" si="4"/>
        <v/>
      </c>
      <c r="AA60" t="s">
        <v>64</v>
      </c>
      <c r="AB60">
        <v>177</v>
      </c>
      <c r="AC60">
        <f t="shared" si="5"/>
        <v>2.6309523809523796</v>
      </c>
      <c r="AD60" t="str">
        <f t="shared" si="6"/>
        <v/>
      </c>
      <c r="AI60" t="s">
        <v>66</v>
      </c>
      <c r="AJ60">
        <v>152</v>
      </c>
      <c r="AK60">
        <f t="shared" si="20"/>
        <v>22.474999999999994</v>
      </c>
      <c r="AL60" t="str">
        <f t="shared" si="21"/>
        <v/>
      </c>
      <c r="AT60" t="s">
        <v>58</v>
      </c>
      <c r="AU60">
        <v>177</v>
      </c>
    </row>
    <row r="61" spans="3:47">
      <c r="C61" t="s">
        <v>59</v>
      </c>
      <c r="D61">
        <v>211</v>
      </c>
      <c r="E61">
        <f t="shared" si="18"/>
        <v>43.119565217391312</v>
      </c>
      <c r="F61" t="str">
        <f t="shared" si="19"/>
        <v/>
      </c>
      <c r="K61" t="s">
        <v>61</v>
      </c>
      <c r="L61">
        <v>160</v>
      </c>
      <c r="M61">
        <f t="shared" si="13"/>
        <v>11.842696629213492</v>
      </c>
      <c r="N61" t="str">
        <f t="shared" si="2"/>
        <v/>
      </c>
      <c r="S61" t="s">
        <v>62</v>
      </c>
      <c r="T61">
        <v>146</v>
      </c>
      <c r="U61">
        <f t="shared" si="3"/>
        <v>26.72727272727272</v>
      </c>
      <c r="V61" t="str">
        <f t="shared" si="4"/>
        <v/>
      </c>
      <c r="AA61" t="s">
        <v>65</v>
      </c>
      <c r="AB61">
        <v>198</v>
      </c>
      <c r="AC61">
        <f t="shared" si="5"/>
        <v>23.63095238095238</v>
      </c>
      <c r="AD61" t="str">
        <f t="shared" si="6"/>
        <v/>
      </c>
      <c r="AI61" t="s">
        <v>67</v>
      </c>
      <c r="AJ61">
        <v>160</v>
      </c>
      <c r="AK61">
        <f t="shared" si="20"/>
        <v>14.474999999999994</v>
      </c>
      <c r="AL61" t="str">
        <f t="shared" si="21"/>
        <v/>
      </c>
      <c r="AR61" t="s">
        <v>121</v>
      </c>
      <c r="AS61" s="3">
        <v>1243</v>
      </c>
      <c r="AT61" t="s">
        <v>59</v>
      </c>
      <c r="AU61">
        <v>211</v>
      </c>
    </row>
    <row r="62" spans="3:47">
      <c r="C62" t="s">
        <v>60</v>
      </c>
      <c r="D62">
        <v>147</v>
      </c>
      <c r="E62">
        <f t="shared" si="18"/>
        <v>20.880434782608688</v>
      </c>
      <c r="F62" t="str">
        <f t="shared" si="19"/>
        <v/>
      </c>
      <c r="K62" t="s">
        <v>62</v>
      </c>
      <c r="L62">
        <v>146</v>
      </c>
      <c r="M62">
        <f t="shared" si="13"/>
        <v>25.842696629213492</v>
      </c>
      <c r="N62" t="str">
        <f t="shared" si="2"/>
        <v/>
      </c>
      <c r="S62" t="s">
        <v>63</v>
      </c>
      <c r="T62">
        <v>204</v>
      </c>
      <c r="U62">
        <f t="shared" si="3"/>
        <v>31.27272727272728</v>
      </c>
      <c r="V62" t="str">
        <f t="shared" si="4"/>
        <v/>
      </c>
      <c r="AA62" t="s">
        <v>66</v>
      </c>
      <c r="AB62">
        <v>152</v>
      </c>
      <c r="AC62">
        <f t="shared" si="5"/>
        <v>22.36904761904762</v>
      </c>
      <c r="AD62" t="str">
        <f t="shared" si="6"/>
        <v/>
      </c>
      <c r="AI62" t="s">
        <v>68</v>
      </c>
      <c r="AJ62">
        <v>188</v>
      </c>
      <c r="AK62">
        <f t="shared" si="20"/>
        <v>13.525000000000006</v>
      </c>
      <c r="AL62" t="str">
        <f t="shared" si="21"/>
        <v/>
      </c>
      <c r="AT62" t="s">
        <v>60</v>
      </c>
      <c r="AU62">
        <v>147</v>
      </c>
    </row>
    <row r="63" spans="3:47">
      <c r="C63" t="s">
        <v>61</v>
      </c>
      <c r="D63">
        <v>160</v>
      </c>
      <c r="E63">
        <f t="shared" si="18"/>
        <v>7.8804347826086882</v>
      </c>
      <c r="F63" t="str">
        <f t="shared" si="19"/>
        <v/>
      </c>
      <c r="K63" t="s">
        <v>63</v>
      </c>
      <c r="L63">
        <v>204</v>
      </c>
      <c r="M63">
        <f t="shared" si="13"/>
        <v>32.157303370786508</v>
      </c>
      <c r="N63" t="str">
        <f t="shared" si="2"/>
        <v/>
      </c>
      <c r="S63" t="s">
        <v>64</v>
      </c>
      <c r="T63">
        <v>177</v>
      </c>
      <c r="U63">
        <f t="shared" si="3"/>
        <v>4.2727272727272805</v>
      </c>
      <c r="V63" t="str">
        <f t="shared" si="4"/>
        <v/>
      </c>
      <c r="AA63" t="s">
        <v>67</v>
      </c>
      <c r="AB63">
        <v>160</v>
      </c>
      <c r="AC63">
        <f t="shared" si="5"/>
        <v>14.36904761904762</v>
      </c>
      <c r="AD63" t="str">
        <f t="shared" si="6"/>
        <v/>
      </c>
      <c r="AI63" t="s">
        <v>69</v>
      </c>
      <c r="AJ63">
        <v>157</v>
      </c>
      <c r="AK63">
        <f t="shared" si="20"/>
        <v>17.474999999999994</v>
      </c>
      <c r="AL63" t="str">
        <f t="shared" si="21"/>
        <v/>
      </c>
      <c r="AT63" t="s">
        <v>61</v>
      </c>
      <c r="AU63">
        <v>160</v>
      </c>
    </row>
    <row r="64" spans="3:47">
      <c r="C64" t="s">
        <v>62</v>
      </c>
      <c r="D64">
        <v>146</v>
      </c>
      <c r="E64">
        <f t="shared" si="18"/>
        <v>21.880434782608688</v>
      </c>
      <c r="F64" t="str">
        <f t="shared" si="19"/>
        <v/>
      </c>
      <c r="K64" t="s">
        <v>64</v>
      </c>
      <c r="L64">
        <v>177</v>
      </c>
      <c r="M64">
        <f t="shared" si="13"/>
        <v>5.1573033707865079</v>
      </c>
      <c r="N64" t="str">
        <f t="shared" si="2"/>
        <v/>
      </c>
      <c r="S64" t="s">
        <v>65</v>
      </c>
      <c r="T64">
        <v>198</v>
      </c>
      <c r="U64">
        <f t="shared" si="3"/>
        <v>25.27272727272728</v>
      </c>
      <c r="V64" t="str">
        <f t="shared" si="4"/>
        <v/>
      </c>
      <c r="AA64" t="s">
        <v>68</v>
      </c>
      <c r="AB64">
        <v>188</v>
      </c>
      <c r="AC64">
        <f t="shared" si="5"/>
        <v>13.63095238095238</v>
      </c>
      <c r="AD64" t="str">
        <f t="shared" si="6"/>
        <v/>
      </c>
      <c r="AI64" t="s">
        <v>70</v>
      </c>
      <c r="AJ64">
        <v>225</v>
      </c>
      <c r="AK64">
        <f t="shared" si="20"/>
        <v>50.525000000000006</v>
      </c>
      <c r="AL64" t="str">
        <f t="shared" si="21"/>
        <v/>
      </c>
      <c r="AT64" t="s">
        <v>62</v>
      </c>
      <c r="AU64">
        <v>146</v>
      </c>
    </row>
    <row r="65" spans="3:47">
      <c r="C65" t="s">
        <v>63</v>
      </c>
      <c r="D65">
        <v>204</v>
      </c>
      <c r="E65">
        <f t="shared" si="18"/>
        <v>36.119565217391312</v>
      </c>
      <c r="F65" t="str">
        <f t="shared" si="19"/>
        <v/>
      </c>
      <c r="K65" t="s">
        <v>65</v>
      </c>
      <c r="L65">
        <v>198</v>
      </c>
      <c r="M65">
        <f t="shared" si="13"/>
        <v>26.157303370786508</v>
      </c>
      <c r="N65" t="str">
        <f t="shared" si="2"/>
        <v/>
      </c>
      <c r="S65" t="s">
        <v>66</v>
      </c>
      <c r="T65">
        <v>152</v>
      </c>
      <c r="U65">
        <f t="shared" si="3"/>
        <v>20.72727272727272</v>
      </c>
      <c r="V65" t="str">
        <f t="shared" si="4"/>
        <v/>
      </c>
      <c r="AA65" t="s">
        <v>69</v>
      </c>
      <c r="AB65">
        <v>157</v>
      </c>
      <c r="AC65">
        <f t="shared" si="5"/>
        <v>17.36904761904762</v>
      </c>
      <c r="AD65" t="str">
        <f t="shared" si="6"/>
        <v/>
      </c>
      <c r="AI65" t="s">
        <v>71</v>
      </c>
      <c r="AJ65">
        <v>199</v>
      </c>
      <c r="AK65">
        <f t="shared" si="20"/>
        <v>24.525000000000006</v>
      </c>
      <c r="AL65" t="str">
        <f t="shared" si="21"/>
        <v/>
      </c>
      <c r="AT65" t="s">
        <v>63</v>
      </c>
      <c r="AU65">
        <v>204</v>
      </c>
    </row>
    <row r="66" spans="3:47">
      <c r="C66" t="s">
        <v>64</v>
      </c>
      <c r="D66">
        <v>177</v>
      </c>
      <c r="E66">
        <f t="shared" ref="E66:E93" si="22">ABS(D66-$H$2)</f>
        <v>9.1195652173913118</v>
      </c>
      <c r="F66" t="str">
        <f t="shared" ref="F66:F93" si="23">IF(E66&gt;$H$5, "Outlier", "")</f>
        <v/>
      </c>
      <c r="K66" t="s">
        <v>66</v>
      </c>
      <c r="L66">
        <v>152</v>
      </c>
      <c r="M66">
        <f t="shared" si="13"/>
        <v>19.842696629213492</v>
      </c>
      <c r="N66" t="str">
        <f t="shared" si="2"/>
        <v/>
      </c>
      <c r="S66" t="s">
        <v>67</v>
      </c>
      <c r="T66">
        <v>160</v>
      </c>
      <c r="U66">
        <f t="shared" si="3"/>
        <v>12.72727272727272</v>
      </c>
      <c r="V66" t="str">
        <f t="shared" si="4"/>
        <v/>
      </c>
      <c r="AA66" t="s">
        <v>70</v>
      </c>
      <c r="AB66">
        <v>225</v>
      </c>
      <c r="AC66">
        <f t="shared" si="5"/>
        <v>50.63095238095238</v>
      </c>
      <c r="AD66" t="str">
        <f t="shared" si="6"/>
        <v/>
      </c>
      <c r="AI66" t="s">
        <v>72</v>
      </c>
      <c r="AJ66">
        <v>147</v>
      </c>
      <c r="AK66">
        <f t="shared" si="20"/>
        <v>27.474999999999994</v>
      </c>
      <c r="AL66" t="str">
        <f t="shared" si="21"/>
        <v/>
      </c>
      <c r="AT66" t="s">
        <v>64</v>
      </c>
      <c r="AU66">
        <v>177</v>
      </c>
    </row>
    <row r="67" spans="3:47">
      <c r="C67" t="s">
        <v>65</v>
      </c>
      <c r="D67">
        <v>198</v>
      </c>
      <c r="E67">
        <f t="shared" si="22"/>
        <v>30.119565217391312</v>
      </c>
      <c r="F67" t="str">
        <f t="shared" si="23"/>
        <v/>
      </c>
      <c r="K67" t="s">
        <v>67</v>
      </c>
      <c r="L67">
        <v>160</v>
      </c>
      <c r="M67">
        <f t="shared" ref="M67:M90" si="24">ABS(L67-$P$2)</f>
        <v>11.842696629213492</v>
      </c>
      <c r="N67" t="str">
        <f t="shared" ref="N67:N90" si="25">IF(M67&gt;$P$5, "Outlier", "")</f>
        <v/>
      </c>
      <c r="S67" t="s">
        <v>68</v>
      </c>
      <c r="T67">
        <v>188</v>
      </c>
      <c r="U67">
        <f t="shared" ref="U67:U89" si="26">ABS(T67-$X$2)</f>
        <v>15.27272727272728</v>
      </c>
      <c r="V67" t="str">
        <f t="shared" ref="V67:V89" si="27">IF(U67&gt;$X$5, "Outlier", "")</f>
        <v/>
      </c>
      <c r="AA67" t="s">
        <v>71</v>
      </c>
      <c r="AB67">
        <v>199</v>
      </c>
      <c r="AC67">
        <f t="shared" ref="AC67:AC85" si="28">ABS(AB67-$AF$2)</f>
        <v>24.63095238095238</v>
      </c>
      <c r="AD67" t="str">
        <f t="shared" ref="AD67:AD85" si="29">IF(AC67&gt;$AF$5, "Outlier", "")</f>
        <v/>
      </c>
      <c r="AI67" t="s">
        <v>73</v>
      </c>
      <c r="AJ67">
        <v>201</v>
      </c>
      <c r="AK67">
        <f t="shared" si="20"/>
        <v>26.525000000000006</v>
      </c>
      <c r="AL67" t="str">
        <f t="shared" si="21"/>
        <v/>
      </c>
      <c r="AT67" t="s">
        <v>65</v>
      </c>
      <c r="AU67">
        <v>198</v>
      </c>
    </row>
    <row r="68" spans="3:47">
      <c r="C68" t="s">
        <v>66</v>
      </c>
      <c r="D68">
        <v>152</v>
      </c>
      <c r="E68">
        <f t="shared" si="22"/>
        <v>15.880434782608688</v>
      </c>
      <c r="F68" t="str">
        <f t="shared" si="23"/>
        <v/>
      </c>
      <c r="K68" t="s">
        <v>68</v>
      </c>
      <c r="L68">
        <v>188</v>
      </c>
      <c r="M68">
        <f t="shared" si="24"/>
        <v>16.157303370786508</v>
      </c>
      <c r="N68" t="str">
        <f t="shared" si="25"/>
        <v/>
      </c>
      <c r="S68" t="s">
        <v>69</v>
      </c>
      <c r="T68">
        <v>157</v>
      </c>
      <c r="U68">
        <f t="shared" si="26"/>
        <v>15.72727272727272</v>
      </c>
      <c r="V68" t="str">
        <f t="shared" si="27"/>
        <v/>
      </c>
      <c r="AA68" t="s">
        <v>72</v>
      </c>
      <c r="AB68">
        <v>147</v>
      </c>
      <c r="AC68">
        <f t="shared" si="28"/>
        <v>27.36904761904762</v>
      </c>
      <c r="AD68" t="str">
        <f t="shared" si="29"/>
        <v/>
      </c>
      <c r="AI68" t="s">
        <v>74</v>
      </c>
      <c r="AJ68">
        <v>150</v>
      </c>
      <c r="AK68">
        <f t="shared" si="20"/>
        <v>24.474999999999994</v>
      </c>
      <c r="AL68" t="str">
        <f t="shared" si="21"/>
        <v/>
      </c>
      <c r="AR68" t="s">
        <v>122</v>
      </c>
      <c r="AS68">
        <v>1081</v>
      </c>
      <c r="AT68" t="s">
        <v>66</v>
      </c>
      <c r="AU68">
        <v>152</v>
      </c>
    </row>
    <row r="69" spans="3:47">
      <c r="C69" t="s">
        <v>67</v>
      </c>
      <c r="D69">
        <v>160</v>
      </c>
      <c r="E69">
        <f t="shared" si="22"/>
        <v>7.8804347826086882</v>
      </c>
      <c r="F69" t="str">
        <f t="shared" si="23"/>
        <v/>
      </c>
      <c r="K69" t="s">
        <v>69</v>
      </c>
      <c r="L69">
        <v>157</v>
      </c>
      <c r="M69">
        <f t="shared" si="24"/>
        <v>14.842696629213492</v>
      </c>
      <c r="N69" t="str">
        <f t="shared" si="25"/>
        <v/>
      </c>
      <c r="S69" t="s">
        <v>70</v>
      </c>
      <c r="T69">
        <v>225</v>
      </c>
      <c r="U69">
        <f t="shared" si="26"/>
        <v>52.27272727272728</v>
      </c>
      <c r="V69" t="str">
        <f t="shared" si="27"/>
        <v/>
      </c>
      <c r="AA69" t="s">
        <v>73</v>
      </c>
      <c r="AB69">
        <v>201</v>
      </c>
      <c r="AC69">
        <f t="shared" si="28"/>
        <v>26.63095238095238</v>
      </c>
      <c r="AD69" t="str">
        <f t="shared" si="29"/>
        <v/>
      </c>
      <c r="AI69" t="s">
        <v>75</v>
      </c>
      <c r="AJ69">
        <v>151</v>
      </c>
      <c r="AK69">
        <f t="shared" si="20"/>
        <v>23.474999999999994</v>
      </c>
      <c r="AL69" t="str">
        <f t="shared" si="21"/>
        <v/>
      </c>
      <c r="AT69" t="s">
        <v>67</v>
      </c>
      <c r="AU69">
        <v>160</v>
      </c>
    </row>
    <row r="70" spans="3:47">
      <c r="C70" t="s">
        <v>68</v>
      </c>
      <c r="D70">
        <v>188</v>
      </c>
      <c r="E70">
        <f t="shared" si="22"/>
        <v>20.119565217391312</v>
      </c>
      <c r="F70" t="str">
        <f t="shared" si="23"/>
        <v/>
      </c>
      <c r="K70" t="s">
        <v>70</v>
      </c>
      <c r="L70">
        <v>225</v>
      </c>
      <c r="M70">
        <f t="shared" si="24"/>
        <v>53.157303370786508</v>
      </c>
      <c r="N70" t="str">
        <f t="shared" si="25"/>
        <v/>
      </c>
      <c r="S70" t="s">
        <v>71</v>
      </c>
      <c r="T70">
        <v>199</v>
      </c>
      <c r="U70">
        <f t="shared" si="26"/>
        <v>26.27272727272728</v>
      </c>
      <c r="V70" t="str">
        <f t="shared" si="27"/>
        <v/>
      </c>
      <c r="AA70" t="s">
        <v>74</v>
      </c>
      <c r="AB70">
        <v>150</v>
      </c>
      <c r="AC70">
        <f t="shared" si="28"/>
        <v>24.36904761904762</v>
      </c>
      <c r="AD70" t="str">
        <f t="shared" si="29"/>
        <v/>
      </c>
      <c r="AI70" t="s">
        <v>76</v>
      </c>
      <c r="AJ70">
        <v>195</v>
      </c>
      <c r="AK70">
        <f t="shared" si="20"/>
        <v>20.525000000000006</v>
      </c>
      <c r="AL70" t="str">
        <f t="shared" si="21"/>
        <v/>
      </c>
      <c r="AT70" t="s">
        <v>68</v>
      </c>
      <c r="AU70">
        <v>188</v>
      </c>
    </row>
    <row r="71" spans="3:47">
      <c r="C71" t="s">
        <v>69</v>
      </c>
      <c r="D71">
        <v>157</v>
      </c>
      <c r="E71">
        <f t="shared" si="22"/>
        <v>10.880434782608688</v>
      </c>
      <c r="F71" t="str">
        <f t="shared" si="23"/>
        <v/>
      </c>
      <c r="K71" t="s">
        <v>71</v>
      </c>
      <c r="L71">
        <v>199</v>
      </c>
      <c r="M71">
        <f t="shared" si="24"/>
        <v>27.157303370786508</v>
      </c>
      <c r="N71" t="str">
        <f t="shared" si="25"/>
        <v/>
      </c>
      <c r="S71" t="s">
        <v>72</v>
      </c>
      <c r="T71">
        <v>147</v>
      </c>
      <c r="U71">
        <f t="shared" si="26"/>
        <v>25.72727272727272</v>
      </c>
      <c r="V71" t="str">
        <f t="shared" si="27"/>
        <v/>
      </c>
      <c r="AA71" t="s">
        <v>75</v>
      </c>
      <c r="AB71">
        <v>151</v>
      </c>
      <c r="AC71">
        <f t="shared" si="28"/>
        <v>23.36904761904762</v>
      </c>
      <c r="AD71" t="str">
        <f t="shared" si="29"/>
        <v/>
      </c>
      <c r="AI71" t="s">
        <v>77</v>
      </c>
      <c r="AJ71">
        <v>182</v>
      </c>
      <c r="AK71">
        <f t="shared" si="20"/>
        <v>7.5250000000000057</v>
      </c>
      <c r="AL71" t="str">
        <f t="shared" si="21"/>
        <v/>
      </c>
      <c r="AT71" t="s">
        <v>69</v>
      </c>
      <c r="AU71">
        <v>157</v>
      </c>
    </row>
    <row r="72" spans="3:47">
      <c r="C72" t="s">
        <v>70</v>
      </c>
      <c r="D72">
        <v>225</v>
      </c>
      <c r="E72">
        <f t="shared" si="22"/>
        <v>57.119565217391312</v>
      </c>
      <c r="F72" t="str">
        <f t="shared" si="23"/>
        <v/>
      </c>
      <c r="K72" t="s">
        <v>72</v>
      </c>
      <c r="L72">
        <v>147</v>
      </c>
      <c r="M72">
        <f t="shared" si="24"/>
        <v>24.842696629213492</v>
      </c>
      <c r="N72" t="str">
        <f t="shared" si="25"/>
        <v/>
      </c>
      <c r="S72" t="s">
        <v>73</v>
      </c>
      <c r="T72">
        <v>201</v>
      </c>
      <c r="U72">
        <f t="shared" si="26"/>
        <v>28.27272727272728</v>
      </c>
      <c r="V72" t="str">
        <f t="shared" si="27"/>
        <v/>
      </c>
      <c r="AA72" t="s">
        <v>76</v>
      </c>
      <c r="AB72">
        <v>195</v>
      </c>
      <c r="AC72">
        <f t="shared" si="28"/>
        <v>20.63095238095238</v>
      </c>
      <c r="AD72" t="str">
        <f t="shared" si="29"/>
        <v/>
      </c>
      <c r="AI72" t="s">
        <v>78</v>
      </c>
      <c r="AJ72">
        <v>205</v>
      </c>
      <c r="AK72">
        <f t="shared" si="20"/>
        <v>30.525000000000006</v>
      </c>
      <c r="AL72" t="str">
        <f t="shared" si="21"/>
        <v/>
      </c>
      <c r="AT72" t="s">
        <v>70</v>
      </c>
      <c r="AU72">
        <v>225</v>
      </c>
    </row>
    <row r="73" spans="3:47">
      <c r="C73" t="s">
        <v>71</v>
      </c>
      <c r="D73">
        <v>199</v>
      </c>
      <c r="E73">
        <f t="shared" si="22"/>
        <v>31.119565217391312</v>
      </c>
      <c r="F73" t="str">
        <f t="shared" si="23"/>
        <v/>
      </c>
      <c r="K73" t="s">
        <v>73</v>
      </c>
      <c r="L73">
        <v>201</v>
      </c>
      <c r="M73">
        <f t="shared" si="24"/>
        <v>29.157303370786508</v>
      </c>
      <c r="N73" t="str">
        <f t="shared" si="25"/>
        <v/>
      </c>
      <c r="S73" t="s">
        <v>74</v>
      </c>
      <c r="T73">
        <v>150</v>
      </c>
      <c r="U73">
        <f t="shared" si="26"/>
        <v>22.72727272727272</v>
      </c>
      <c r="V73" t="str">
        <f t="shared" si="27"/>
        <v/>
      </c>
      <c r="AA73" t="s">
        <v>77</v>
      </c>
      <c r="AB73">
        <v>182</v>
      </c>
      <c r="AC73">
        <f t="shared" si="28"/>
        <v>7.6309523809523796</v>
      </c>
      <c r="AD73" t="str">
        <f t="shared" si="29"/>
        <v/>
      </c>
      <c r="AI73" t="s">
        <v>79</v>
      </c>
      <c r="AJ73">
        <v>138</v>
      </c>
      <c r="AK73">
        <f t="shared" ref="AK73:AK81" si="30">ABS(AJ73-$AN$2)</f>
        <v>36.474999999999994</v>
      </c>
      <c r="AL73" t="str">
        <f t="shared" ref="AL73:AL81" si="31">IF(AK73&gt;$AN$5, "Outlier", "")</f>
        <v/>
      </c>
      <c r="AT73" t="s">
        <v>71</v>
      </c>
      <c r="AU73">
        <v>199</v>
      </c>
    </row>
    <row r="74" spans="3:47">
      <c r="C74" t="s">
        <v>72</v>
      </c>
      <c r="D74">
        <v>147</v>
      </c>
      <c r="E74">
        <f t="shared" si="22"/>
        <v>20.880434782608688</v>
      </c>
      <c r="F74" t="str">
        <f t="shared" si="23"/>
        <v/>
      </c>
      <c r="K74" t="s">
        <v>74</v>
      </c>
      <c r="L74">
        <v>150</v>
      </c>
      <c r="M74">
        <f t="shared" si="24"/>
        <v>21.842696629213492</v>
      </c>
      <c r="N74" t="str">
        <f t="shared" si="25"/>
        <v/>
      </c>
      <c r="S74" t="s">
        <v>75</v>
      </c>
      <c r="T74">
        <v>151</v>
      </c>
      <c r="U74">
        <f t="shared" si="26"/>
        <v>21.72727272727272</v>
      </c>
      <c r="V74" t="str">
        <f t="shared" si="27"/>
        <v/>
      </c>
      <c r="AA74" t="s">
        <v>78</v>
      </c>
      <c r="AB74">
        <v>205</v>
      </c>
      <c r="AC74">
        <f t="shared" si="28"/>
        <v>30.63095238095238</v>
      </c>
      <c r="AD74" t="str">
        <f t="shared" si="29"/>
        <v/>
      </c>
      <c r="AI74" t="s">
        <v>80</v>
      </c>
      <c r="AJ74">
        <v>121</v>
      </c>
      <c r="AK74">
        <f t="shared" si="30"/>
        <v>53.474999999999994</v>
      </c>
      <c r="AL74" t="str">
        <f t="shared" si="31"/>
        <v/>
      </c>
      <c r="AR74" t="s">
        <v>123</v>
      </c>
      <c r="AS74">
        <v>498</v>
      </c>
      <c r="AT74" t="s">
        <v>72</v>
      </c>
      <c r="AU74">
        <v>147</v>
      </c>
    </row>
    <row r="75" spans="3:47">
      <c r="C75" t="s">
        <v>73</v>
      </c>
      <c r="D75">
        <v>201</v>
      </c>
      <c r="E75">
        <f t="shared" si="22"/>
        <v>33.119565217391312</v>
      </c>
      <c r="F75" t="str">
        <f t="shared" si="23"/>
        <v/>
      </c>
      <c r="K75" t="s">
        <v>75</v>
      </c>
      <c r="L75">
        <v>151</v>
      </c>
      <c r="M75">
        <f t="shared" si="24"/>
        <v>20.842696629213492</v>
      </c>
      <c r="N75" t="str">
        <f t="shared" si="25"/>
        <v/>
      </c>
      <c r="S75" t="s">
        <v>76</v>
      </c>
      <c r="T75">
        <v>195</v>
      </c>
      <c r="U75">
        <f t="shared" si="26"/>
        <v>22.27272727272728</v>
      </c>
      <c r="V75" t="str">
        <f t="shared" si="27"/>
        <v/>
      </c>
      <c r="AA75" t="s">
        <v>79</v>
      </c>
      <c r="AB75">
        <v>138</v>
      </c>
      <c r="AC75">
        <f t="shared" si="28"/>
        <v>36.36904761904762</v>
      </c>
      <c r="AD75" t="str">
        <f t="shared" si="29"/>
        <v/>
      </c>
      <c r="AI75" t="s">
        <v>81</v>
      </c>
      <c r="AJ75">
        <v>153</v>
      </c>
      <c r="AK75">
        <f t="shared" si="30"/>
        <v>21.474999999999994</v>
      </c>
      <c r="AL75" t="str">
        <f t="shared" si="31"/>
        <v/>
      </c>
      <c r="AT75" t="s">
        <v>73</v>
      </c>
      <c r="AU75">
        <v>201</v>
      </c>
    </row>
    <row r="76" spans="3:47">
      <c r="C76" t="s">
        <v>74</v>
      </c>
      <c r="D76">
        <v>150</v>
      </c>
      <c r="E76">
        <f t="shared" si="22"/>
        <v>17.880434782608688</v>
      </c>
      <c r="F76" t="str">
        <f t="shared" si="23"/>
        <v/>
      </c>
      <c r="K76" t="s">
        <v>76</v>
      </c>
      <c r="L76">
        <v>195</v>
      </c>
      <c r="M76">
        <f t="shared" si="24"/>
        <v>23.157303370786508</v>
      </c>
      <c r="N76" t="str">
        <f t="shared" si="25"/>
        <v/>
      </c>
      <c r="S76" t="s">
        <v>77</v>
      </c>
      <c r="T76">
        <v>182</v>
      </c>
      <c r="U76">
        <f t="shared" si="26"/>
        <v>9.2727272727272805</v>
      </c>
      <c r="V76" t="str">
        <f t="shared" si="27"/>
        <v/>
      </c>
      <c r="AA76" t="s">
        <v>80</v>
      </c>
      <c r="AB76">
        <v>121</v>
      </c>
      <c r="AC76">
        <f t="shared" si="28"/>
        <v>53.36904761904762</v>
      </c>
      <c r="AD76" t="str">
        <f t="shared" si="29"/>
        <v/>
      </c>
      <c r="AI76" t="s">
        <v>82</v>
      </c>
      <c r="AJ76">
        <v>185</v>
      </c>
      <c r="AK76">
        <f t="shared" si="30"/>
        <v>10.525000000000006</v>
      </c>
      <c r="AL76" t="str">
        <f t="shared" si="31"/>
        <v/>
      </c>
      <c r="AT76" t="s">
        <v>74</v>
      </c>
      <c r="AU76">
        <v>150</v>
      </c>
    </row>
    <row r="77" spans="3:47">
      <c r="C77" t="s">
        <v>75</v>
      </c>
      <c r="D77">
        <v>151</v>
      </c>
      <c r="E77">
        <f t="shared" si="22"/>
        <v>16.880434782608688</v>
      </c>
      <c r="F77" t="str">
        <f t="shared" si="23"/>
        <v/>
      </c>
      <c r="K77" t="s">
        <v>77</v>
      </c>
      <c r="L77">
        <v>182</v>
      </c>
      <c r="M77">
        <f t="shared" si="24"/>
        <v>10.157303370786508</v>
      </c>
      <c r="N77" t="str">
        <f t="shared" si="25"/>
        <v/>
      </c>
      <c r="S77" t="s">
        <v>78</v>
      </c>
      <c r="T77">
        <v>205</v>
      </c>
      <c r="U77">
        <f t="shared" si="26"/>
        <v>32.27272727272728</v>
      </c>
      <c r="V77" t="str">
        <f t="shared" si="27"/>
        <v/>
      </c>
      <c r="AA77" t="s">
        <v>81</v>
      </c>
      <c r="AB77">
        <v>153</v>
      </c>
      <c r="AC77">
        <f t="shared" si="28"/>
        <v>21.36904761904762</v>
      </c>
      <c r="AD77" t="str">
        <f t="shared" si="29"/>
        <v/>
      </c>
      <c r="AI77" t="s">
        <v>83</v>
      </c>
      <c r="AJ77">
        <v>168</v>
      </c>
      <c r="AK77">
        <f t="shared" si="30"/>
        <v>6.4749999999999943</v>
      </c>
      <c r="AL77" t="str">
        <f t="shared" si="31"/>
        <v/>
      </c>
      <c r="AR77" t="s">
        <v>130</v>
      </c>
      <c r="AS77">
        <v>1609</v>
      </c>
      <c r="AT77" t="s">
        <v>75</v>
      </c>
      <c r="AU77">
        <v>151</v>
      </c>
    </row>
    <row r="78" spans="3:47">
      <c r="C78" t="s">
        <v>76</v>
      </c>
      <c r="D78">
        <v>195</v>
      </c>
      <c r="E78">
        <f t="shared" si="22"/>
        <v>27.119565217391312</v>
      </c>
      <c r="F78" t="str">
        <f t="shared" si="23"/>
        <v/>
      </c>
      <c r="K78" t="s">
        <v>78</v>
      </c>
      <c r="L78">
        <v>205</v>
      </c>
      <c r="M78">
        <f t="shared" si="24"/>
        <v>33.157303370786508</v>
      </c>
      <c r="N78" t="str">
        <f t="shared" si="25"/>
        <v/>
      </c>
      <c r="S78" t="s">
        <v>79</v>
      </c>
      <c r="T78">
        <v>138</v>
      </c>
      <c r="U78">
        <f t="shared" si="26"/>
        <v>34.72727272727272</v>
      </c>
      <c r="V78" t="str">
        <f t="shared" si="27"/>
        <v/>
      </c>
      <c r="AA78" t="s">
        <v>82</v>
      </c>
      <c r="AB78">
        <v>185</v>
      </c>
      <c r="AC78">
        <f t="shared" si="28"/>
        <v>10.63095238095238</v>
      </c>
      <c r="AD78" t="str">
        <f t="shared" si="29"/>
        <v/>
      </c>
      <c r="AI78" t="s">
        <v>85</v>
      </c>
      <c r="AJ78">
        <v>168</v>
      </c>
      <c r="AK78">
        <f t="shared" si="30"/>
        <v>6.4749999999999943</v>
      </c>
      <c r="AL78" t="str">
        <f t="shared" si="31"/>
        <v/>
      </c>
      <c r="AT78" t="s">
        <v>76</v>
      </c>
      <c r="AU78">
        <v>195</v>
      </c>
    </row>
    <row r="79" spans="3:47">
      <c r="C79" t="s">
        <v>77</v>
      </c>
      <c r="D79">
        <v>182</v>
      </c>
      <c r="E79">
        <f t="shared" si="22"/>
        <v>14.119565217391312</v>
      </c>
      <c r="F79" t="str">
        <f t="shared" si="23"/>
        <v/>
      </c>
      <c r="K79" t="s">
        <v>79</v>
      </c>
      <c r="L79">
        <v>138</v>
      </c>
      <c r="M79">
        <f t="shared" si="24"/>
        <v>33.842696629213492</v>
      </c>
      <c r="N79" t="str">
        <f t="shared" si="25"/>
        <v/>
      </c>
      <c r="S79" t="s">
        <v>80</v>
      </c>
      <c r="T79">
        <v>121</v>
      </c>
      <c r="U79">
        <f t="shared" si="26"/>
        <v>51.72727272727272</v>
      </c>
      <c r="V79" t="str">
        <f t="shared" si="27"/>
        <v/>
      </c>
      <c r="AA79" t="s">
        <v>83</v>
      </c>
      <c r="AB79">
        <v>168</v>
      </c>
      <c r="AC79">
        <f t="shared" si="28"/>
        <v>6.3690476190476204</v>
      </c>
      <c r="AD79" t="str">
        <f t="shared" si="29"/>
        <v/>
      </c>
      <c r="AI79" t="s">
        <v>86</v>
      </c>
      <c r="AJ79">
        <v>166</v>
      </c>
      <c r="AK79">
        <f t="shared" si="30"/>
        <v>8.4749999999999943</v>
      </c>
      <c r="AL79" t="str">
        <f t="shared" si="31"/>
        <v/>
      </c>
      <c r="AT79" t="s">
        <v>77</v>
      </c>
      <c r="AU79">
        <v>182</v>
      </c>
    </row>
    <row r="80" spans="3:47">
      <c r="C80" t="s">
        <v>78</v>
      </c>
      <c r="D80">
        <v>205</v>
      </c>
      <c r="E80">
        <f t="shared" si="22"/>
        <v>37.119565217391312</v>
      </c>
      <c r="F80" t="str">
        <f t="shared" si="23"/>
        <v/>
      </c>
      <c r="K80" t="s">
        <v>80</v>
      </c>
      <c r="L80">
        <v>121</v>
      </c>
      <c r="M80">
        <f t="shared" si="24"/>
        <v>50.842696629213492</v>
      </c>
      <c r="N80" t="str">
        <f t="shared" si="25"/>
        <v/>
      </c>
      <c r="S80" t="s">
        <v>81</v>
      </c>
      <c r="T80">
        <v>153</v>
      </c>
      <c r="U80">
        <f t="shared" si="26"/>
        <v>19.72727272727272</v>
      </c>
      <c r="V80" t="str">
        <f t="shared" si="27"/>
        <v/>
      </c>
      <c r="AA80" t="s">
        <v>84</v>
      </c>
      <c r="AB80">
        <v>111</v>
      </c>
      <c r="AC80">
        <f t="shared" si="28"/>
        <v>63.36904761904762</v>
      </c>
      <c r="AD80" t="str">
        <f t="shared" si="29"/>
        <v>Outlier</v>
      </c>
      <c r="AI80" t="s">
        <v>90</v>
      </c>
      <c r="AJ80">
        <v>135</v>
      </c>
      <c r="AK80">
        <f t="shared" si="30"/>
        <v>39.474999999999994</v>
      </c>
      <c r="AL80" t="str">
        <f t="shared" si="31"/>
        <v/>
      </c>
      <c r="AT80" t="s">
        <v>78</v>
      </c>
      <c r="AU80">
        <v>205</v>
      </c>
    </row>
    <row r="81" spans="3:47">
      <c r="C81" t="s">
        <v>79</v>
      </c>
      <c r="D81">
        <v>138</v>
      </c>
      <c r="E81">
        <f t="shared" si="22"/>
        <v>29.880434782608688</v>
      </c>
      <c r="F81" t="str">
        <f t="shared" si="23"/>
        <v/>
      </c>
      <c r="K81" t="s">
        <v>81</v>
      </c>
      <c r="L81">
        <v>153</v>
      </c>
      <c r="M81">
        <f t="shared" si="24"/>
        <v>18.842696629213492</v>
      </c>
      <c r="N81" t="str">
        <f t="shared" si="25"/>
        <v/>
      </c>
      <c r="S81" t="s">
        <v>82</v>
      </c>
      <c r="T81">
        <v>185</v>
      </c>
      <c r="U81">
        <f t="shared" si="26"/>
        <v>12.27272727272728</v>
      </c>
      <c r="V81" t="str">
        <f t="shared" si="27"/>
        <v/>
      </c>
      <c r="AA81" t="s">
        <v>85</v>
      </c>
      <c r="AB81">
        <v>168</v>
      </c>
      <c r="AC81">
        <f t="shared" si="28"/>
        <v>6.3690476190476204</v>
      </c>
      <c r="AD81" t="str">
        <f t="shared" si="29"/>
        <v/>
      </c>
      <c r="AI81" t="s">
        <v>91</v>
      </c>
      <c r="AJ81">
        <v>178</v>
      </c>
      <c r="AK81">
        <f t="shared" si="30"/>
        <v>3.5250000000000057</v>
      </c>
      <c r="AL81" t="str">
        <f t="shared" si="31"/>
        <v/>
      </c>
      <c r="AT81" t="s">
        <v>131</v>
      </c>
      <c r="AU81">
        <v>138</v>
      </c>
    </row>
    <row r="82" spans="3:47">
      <c r="C82" t="s">
        <v>80</v>
      </c>
      <c r="D82">
        <v>121</v>
      </c>
      <c r="E82">
        <f t="shared" si="22"/>
        <v>46.880434782608688</v>
      </c>
      <c r="F82" t="str">
        <f t="shared" si="23"/>
        <v/>
      </c>
      <c r="K82" t="s">
        <v>82</v>
      </c>
      <c r="L82">
        <v>185</v>
      </c>
      <c r="M82">
        <f t="shared" si="24"/>
        <v>13.157303370786508</v>
      </c>
      <c r="N82" t="str">
        <f t="shared" si="25"/>
        <v/>
      </c>
      <c r="S82" t="s">
        <v>83</v>
      </c>
      <c r="T82">
        <v>168</v>
      </c>
      <c r="U82">
        <f t="shared" si="26"/>
        <v>4.7272727272727195</v>
      </c>
      <c r="V82" t="str">
        <f t="shared" si="27"/>
        <v/>
      </c>
      <c r="AA82" t="s">
        <v>86</v>
      </c>
      <c r="AB82">
        <v>166</v>
      </c>
      <c r="AC82">
        <f t="shared" si="28"/>
        <v>8.3690476190476204</v>
      </c>
      <c r="AD82" t="str">
        <f t="shared" si="29"/>
        <v/>
      </c>
      <c r="AT82" t="s">
        <v>80</v>
      </c>
      <c r="AU82">
        <v>121</v>
      </c>
    </row>
    <row r="83" spans="3:47">
      <c r="C83" t="s">
        <v>81</v>
      </c>
      <c r="D83">
        <v>153</v>
      </c>
      <c r="E83">
        <f t="shared" si="22"/>
        <v>14.880434782608688</v>
      </c>
      <c r="F83" t="str">
        <f t="shared" si="23"/>
        <v/>
      </c>
      <c r="K83" t="s">
        <v>83</v>
      </c>
      <c r="L83">
        <v>168</v>
      </c>
      <c r="M83">
        <f t="shared" si="24"/>
        <v>3.8426966292134921</v>
      </c>
      <c r="N83" t="str">
        <f t="shared" si="25"/>
        <v/>
      </c>
      <c r="S83" t="s">
        <v>84</v>
      </c>
      <c r="T83">
        <v>111</v>
      </c>
      <c r="U83">
        <f t="shared" si="26"/>
        <v>61.72727272727272</v>
      </c>
      <c r="V83" t="str">
        <f t="shared" si="27"/>
        <v/>
      </c>
      <c r="AA83" t="s">
        <v>89</v>
      </c>
      <c r="AB83">
        <v>234</v>
      </c>
      <c r="AC83">
        <f t="shared" si="28"/>
        <v>59.63095238095238</v>
      </c>
      <c r="AD83" t="str">
        <f t="shared" si="29"/>
        <v>Outlier</v>
      </c>
      <c r="AT83" t="s">
        <v>81</v>
      </c>
      <c r="AU83">
        <v>153</v>
      </c>
    </row>
    <row r="84" spans="3:47">
      <c r="C84" t="s">
        <v>82</v>
      </c>
      <c r="D84">
        <v>185</v>
      </c>
      <c r="E84">
        <f t="shared" si="22"/>
        <v>17.119565217391312</v>
      </c>
      <c r="F84" t="str">
        <f t="shared" si="23"/>
        <v/>
      </c>
      <c r="K84" t="s">
        <v>84</v>
      </c>
      <c r="L84">
        <v>111</v>
      </c>
      <c r="M84">
        <f t="shared" si="24"/>
        <v>60.842696629213492</v>
      </c>
      <c r="N84" t="str">
        <f t="shared" si="25"/>
        <v/>
      </c>
      <c r="S84" t="s">
        <v>85</v>
      </c>
      <c r="T84">
        <v>168</v>
      </c>
      <c r="U84">
        <f t="shared" si="26"/>
        <v>4.7272727272727195</v>
      </c>
      <c r="V84" t="str">
        <f t="shared" si="27"/>
        <v/>
      </c>
      <c r="AA84" t="s">
        <v>90</v>
      </c>
      <c r="AB84">
        <v>135</v>
      </c>
      <c r="AC84">
        <f t="shared" si="28"/>
        <v>39.36904761904762</v>
      </c>
      <c r="AD84" t="str">
        <f t="shared" si="29"/>
        <v/>
      </c>
      <c r="AT84" t="s">
        <v>82</v>
      </c>
      <c r="AU84">
        <v>185</v>
      </c>
    </row>
    <row r="85" spans="3:47">
      <c r="C85" t="s">
        <v>83</v>
      </c>
      <c r="D85">
        <v>168</v>
      </c>
      <c r="E85">
        <f t="shared" si="22"/>
        <v>0.11956521739131176</v>
      </c>
      <c r="F85" t="str">
        <f t="shared" si="23"/>
        <v/>
      </c>
      <c r="K85" t="s">
        <v>85</v>
      </c>
      <c r="L85">
        <v>168</v>
      </c>
      <c r="M85">
        <f t="shared" si="24"/>
        <v>3.8426966292134921</v>
      </c>
      <c r="N85" t="str">
        <f t="shared" si="25"/>
        <v/>
      </c>
      <c r="S85" t="s">
        <v>86</v>
      </c>
      <c r="T85">
        <v>166</v>
      </c>
      <c r="U85">
        <f t="shared" si="26"/>
        <v>6.7272727272727195</v>
      </c>
      <c r="V85" t="str">
        <f t="shared" si="27"/>
        <v/>
      </c>
      <c r="AA85" t="s">
        <v>91</v>
      </c>
      <c r="AB85">
        <v>178</v>
      </c>
      <c r="AC85">
        <f t="shared" si="28"/>
        <v>3.6309523809523796</v>
      </c>
      <c r="AD85" t="str">
        <f t="shared" si="29"/>
        <v/>
      </c>
      <c r="AT85" t="s">
        <v>83</v>
      </c>
      <c r="AU85">
        <v>168</v>
      </c>
    </row>
    <row r="86" spans="3:47">
      <c r="C86" t="s">
        <v>84</v>
      </c>
      <c r="D86">
        <v>111</v>
      </c>
      <c r="E86">
        <f t="shared" si="22"/>
        <v>56.880434782608688</v>
      </c>
      <c r="F86" t="str">
        <f t="shared" si="23"/>
        <v/>
      </c>
      <c r="K86" t="s">
        <v>86</v>
      </c>
      <c r="L86">
        <v>166</v>
      </c>
      <c r="M86">
        <f t="shared" si="24"/>
        <v>5.8426966292134921</v>
      </c>
      <c r="N86" t="str">
        <f t="shared" si="25"/>
        <v/>
      </c>
      <c r="S86" t="s">
        <v>87</v>
      </c>
      <c r="T86">
        <v>237</v>
      </c>
      <c r="U86">
        <f t="shared" si="26"/>
        <v>64.27272727272728</v>
      </c>
      <c r="V86" t="str">
        <f t="shared" si="27"/>
        <v>Outlier</v>
      </c>
      <c r="AT86" s="4" t="s">
        <v>84</v>
      </c>
      <c r="AU86" s="4">
        <v>111</v>
      </c>
    </row>
    <row r="87" spans="3:47">
      <c r="C87" t="s">
        <v>85</v>
      </c>
      <c r="D87">
        <v>168</v>
      </c>
      <c r="E87">
        <f t="shared" si="22"/>
        <v>0.11956521739131176</v>
      </c>
      <c r="F87" t="str">
        <f t="shared" si="23"/>
        <v/>
      </c>
      <c r="K87" t="s">
        <v>87</v>
      </c>
      <c r="L87">
        <v>237</v>
      </c>
      <c r="M87">
        <f t="shared" si="24"/>
        <v>65.157303370786508</v>
      </c>
      <c r="N87" t="str">
        <f t="shared" si="25"/>
        <v/>
      </c>
      <c r="S87" t="s">
        <v>89</v>
      </c>
      <c r="T87">
        <v>234</v>
      </c>
      <c r="U87">
        <f t="shared" si="26"/>
        <v>61.27272727272728</v>
      </c>
      <c r="V87" t="str">
        <f t="shared" si="27"/>
        <v/>
      </c>
      <c r="AR87" t="s">
        <v>124</v>
      </c>
      <c r="AS87">
        <v>571</v>
      </c>
      <c r="AT87" t="s">
        <v>85</v>
      </c>
      <c r="AU87">
        <v>168</v>
      </c>
    </row>
    <row r="88" spans="3:47">
      <c r="C88" t="s">
        <v>86</v>
      </c>
      <c r="D88">
        <v>166</v>
      </c>
      <c r="E88">
        <f t="shared" si="22"/>
        <v>1.8804347826086882</v>
      </c>
      <c r="F88" t="str">
        <f t="shared" si="23"/>
        <v/>
      </c>
      <c r="K88" t="s">
        <v>89</v>
      </c>
      <c r="L88">
        <v>234</v>
      </c>
      <c r="M88">
        <f t="shared" si="24"/>
        <v>62.157303370786508</v>
      </c>
      <c r="N88" t="str">
        <f t="shared" si="25"/>
        <v/>
      </c>
      <c r="S88" t="s">
        <v>90</v>
      </c>
      <c r="T88">
        <v>135</v>
      </c>
      <c r="U88">
        <f t="shared" si="26"/>
        <v>37.72727272727272</v>
      </c>
      <c r="V88" t="str">
        <f t="shared" si="27"/>
        <v/>
      </c>
      <c r="AT88" t="s">
        <v>86</v>
      </c>
      <c r="AU88">
        <v>166</v>
      </c>
    </row>
    <row r="89" spans="3:47">
      <c r="C89" t="s">
        <v>87</v>
      </c>
      <c r="D89">
        <v>237</v>
      </c>
      <c r="E89">
        <f t="shared" si="22"/>
        <v>69.119565217391312</v>
      </c>
      <c r="F89" t="str">
        <f t="shared" si="23"/>
        <v/>
      </c>
      <c r="K89" t="s">
        <v>90</v>
      </c>
      <c r="L89">
        <v>135</v>
      </c>
      <c r="M89">
        <f t="shared" si="24"/>
        <v>36.842696629213492</v>
      </c>
      <c r="N89" t="str">
        <f t="shared" si="25"/>
        <v/>
      </c>
      <c r="S89" t="s">
        <v>91</v>
      </c>
      <c r="T89">
        <v>178</v>
      </c>
      <c r="U89">
        <f t="shared" si="26"/>
        <v>5.2727272727272805</v>
      </c>
      <c r="V89" t="str">
        <f t="shared" si="27"/>
        <v/>
      </c>
      <c r="AT89" s="4" t="s">
        <v>87</v>
      </c>
      <c r="AU89" s="4">
        <v>237</v>
      </c>
    </row>
    <row r="90" spans="3:47">
      <c r="C90" t="s">
        <v>88</v>
      </c>
      <c r="D90">
        <v>44</v>
      </c>
      <c r="E90">
        <f t="shared" si="22"/>
        <v>123.88043478260869</v>
      </c>
      <c r="F90" t="str">
        <f t="shared" si="23"/>
        <v>Outlier</v>
      </c>
      <c r="K90" t="s">
        <v>91</v>
      </c>
      <c r="L90">
        <v>178</v>
      </c>
      <c r="M90">
        <f t="shared" si="24"/>
        <v>6.1573033707865079</v>
      </c>
      <c r="N90" t="str">
        <f t="shared" si="25"/>
        <v/>
      </c>
      <c r="AR90" s="4" t="s">
        <v>88</v>
      </c>
      <c r="AS90" s="4">
        <v>44</v>
      </c>
      <c r="AT90" s="4" t="s">
        <v>88</v>
      </c>
      <c r="AU90" s="4">
        <v>44</v>
      </c>
    </row>
    <row r="91" spans="3:47">
      <c r="C91" t="s">
        <v>89</v>
      </c>
      <c r="D91">
        <v>234</v>
      </c>
      <c r="E91">
        <f t="shared" si="22"/>
        <v>66.119565217391312</v>
      </c>
      <c r="F91" t="str">
        <f t="shared" si="23"/>
        <v/>
      </c>
      <c r="AR91" t="s">
        <v>125</v>
      </c>
      <c r="AS91">
        <v>547</v>
      </c>
      <c r="AT91" s="4" t="s">
        <v>89</v>
      </c>
      <c r="AU91" s="4">
        <v>234</v>
      </c>
    </row>
    <row r="92" spans="3:47">
      <c r="C92" t="s">
        <v>90</v>
      </c>
      <c r="D92">
        <v>135</v>
      </c>
      <c r="E92">
        <f t="shared" si="22"/>
        <v>32.880434782608688</v>
      </c>
      <c r="F92" t="str">
        <f t="shared" si="23"/>
        <v/>
      </c>
      <c r="AT92" t="s">
        <v>90</v>
      </c>
      <c r="AU92">
        <v>135</v>
      </c>
    </row>
    <row r="93" spans="3:47">
      <c r="C93" t="s">
        <v>91</v>
      </c>
      <c r="D93">
        <v>178</v>
      </c>
      <c r="E93">
        <f t="shared" si="22"/>
        <v>10.119565217391312</v>
      </c>
      <c r="F93" t="str">
        <f t="shared" si="23"/>
        <v/>
      </c>
      <c r="AT93" t="s">
        <v>91</v>
      </c>
      <c r="AU93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2020-07-16T08:56:09Z</dcterms:created>
  <dcterms:modified xsi:type="dcterms:W3CDTF">2020-07-17T15:09:19Z</dcterms:modified>
</cp:coreProperties>
</file>